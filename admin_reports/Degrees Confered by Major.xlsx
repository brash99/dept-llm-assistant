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brash/"/>
    </mc:Choice>
  </mc:AlternateContent>
  <xr:revisionPtr revIDLastSave="0" documentId="8_{8E614F9C-6544-7B47-903A-4D55DB84DA7E}" xr6:coauthVersionLast="47" xr6:coauthVersionMax="47" xr10:uidLastSave="{00000000-0000-0000-0000-000000000000}"/>
  <bookViews>
    <workbookView xWindow="2380" yWindow="1580" windowWidth="32180" windowHeight="1966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Sheet1!$A$7:$R$7</definedName>
    <definedName name="_xlnm.Print_Titles" localSheetId="0">Sheet1!$4:$7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9" i="1" l="1"/>
  <c r="D99" i="1"/>
  <c r="C99" i="1"/>
  <c r="F99" i="1" s="1"/>
  <c r="G99" i="1" s="1"/>
  <c r="F97" i="1"/>
  <c r="G97" i="1" s="1"/>
  <c r="G96" i="1"/>
  <c r="F96" i="1"/>
  <c r="G95" i="1"/>
  <c r="F95" i="1"/>
  <c r="F94" i="1"/>
  <c r="G94" i="1" s="1"/>
  <c r="F91" i="1"/>
  <c r="V86" i="1"/>
  <c r="AC86" i="1" s="1"/>
  <c r="U86" i="1"/>
  <c r="M86" i="1"/>
  <c r="L86" i="1"/>
  <c r="K86" i="1"/>
  <c r="E86" i="1"/>
  <c r="D86" i="1"/>
  <c r="C86" i="1"/>
  <c r="AC85" i="1"/>
  <c r="AC84" i="1"/>
  <c r="W84" i="1"/>
  <c r="F84" i="1"/>
  <c r="AC83" i="1"/>
  <c r="W83" i="1"/>
  <c r="F83" i="1"/>
  <c r="G83" i="1" s="1"/>
  <c r="AC82" i="1"/>
  <c r="W82" i="1"/>
  <c r="F82" i="1"/>
  <c r="AC81" i="1"/>
  <c r="W81" i="1"/>
  <c r="F81" i="1"/>
  <c r="G81" i="1" s="1"/>
  <c r="AC80" i="1"/>
  <c r="W80" i="1"/>
  <c r="F80" i="1"/>
  <c r="AC79" i="1"/>
  <c r="W79" i="1"/>
  <c r="F79" i="1"/>
  <c r="G79" i="1" s="1"/>
  <c r="AC78" i="1"/>
  <c r="W78" i="1"/>
  <c r="F78" i="1"/>
  <c r="AC77" i="1"/>
  <c r="W77" i="1"/>
  <c r="F77" i="1"/>
  <c r="G77" i="1" s="1"/>
  <c r="AC76" i="1"/>
  <c r="W76" i="1"/>
  <c r="F76" i="1"/>
  <c r="AC75" i="1"/>
  <c r="W75" i="1"/>
  <c r="F75" i="1"/>
  <c r="G75" i="1" s="1"/>
  <c r="AC74" i="1"/>
  <c r="F74" i="1"/>
  <c r="AC73" i="1"/>
  <c r="W73" i="1"/>
  <c r="F73" i="1"/>
  <c r="AC72" i="1"/>
  <c r="W72" i="1"/>
  <c r="F72" i="1"/>
  <c r="AC71" i="1"/>
  <c r="W71" i="1"/>
  <c r="F71" i="1"/>
  <c r="AC70" i="1"/>
  <c r="W70" i="1"/>
  <c r="F70" i="1"/>
  <c r="AC69" i="1"/>
  <c r="W69" i="1"/>
  <c r="F69" i="1"/>
  <c r="AC68" i="1"/>
  <c r="W68" i="1"/>
  <c r="F68" i="1"/>
  <c r="AC67" i="1"/>
  <c r="W67" i="1"/>
  <c r="F67" i="1"/>
  <c r="M60" i="1"/>
  <c r="L60" i="1"/>
  <c r="K60" i="1"/>
  <c r="N60" i="1" s="1"/>
  <c r="E60" i="1"/>
  <c r="D60" i="1"/>
  <c r="C60" i="1"/>
  <c r="N57" i="1"/>
  <c r="O57" i="1" s="1"/>
  <c r="F57" i="1"/>
  <c r="N56" i="1"/>
  <c r="O56" i="1" s="1"/>
  <c r="F56" i="1"/>
  <c r="Q56" i="1" s="1"/>
  <c r="N55" i="1"/>
  <c r="O55" i="1" s="1"/>
  <c r="F55" i="1"/>
  <c r="G55" i="1" s="1"/>
  <c r="N53" i="1"/>
  <c r="F53" i="1"/>
  <c r="N54" i="1"/>
  <c r="O54" i="1" s="1"/>
  <c r="F54" i="1"/>
  <c r="G54" i="1" s="1"/>
  <c r="N51" i="1"/>
  <c r="O51" i="1" s="1"/>
  <c r="F51" i="1"/>
  <c r="N52" i="1"/>
  <c r="F52" i="1"/>
  <c r="G52" i="1" s="1"/>
  <c r="N50" i="1"/>
  <c r="F50" i="1"/>
  <c r="G50" i="1" s="1"/>
  <c r="N49" i="1"/>
  <c r="O49" i="1" s="1"/>
  <c r="F49" i="1"/>
  <c r="N45" i="1"/>
  <c r="O45" i="1" s="1"/>
  <c r="F45" i="1"/>
  <c r="G45" i="1" s="1"/>
  <c r="N48" i="1"/>
  <c r="O48" i="1" s="1"/>
  <c r="F48" i="1"/>
  <c r="G48" i="1" s="1"/>
  <c r="N47" i="1"/>
  <c r="F47" i="1"/>
  <c r="Q47" i="1" s="1"/>
  <c r="F46" i="1"/>
  <c r="Q46" i="1" s="1"/>
  <c r="N44" i="1"/>
  <c r="O44" i="1" s="1"/>
  <c r="F44" i="1"/>
  <c r="G44" i="1" s="1"/>
  <c r="N43" i="1"/>
  <c r="F43" i="1"/>
  <c r="N42" i="1"/>
  <c r="F42" i="1"/>
  <c r="N34" i="1"/>
  <c r="O34" i="1" s="1"/>
  <c r="F34" i="1"/>
  <c r="Q34" i="1" s="1"/>
  <c r="N58" i="1"/>
  <c r="N39" i="1"/>
  <c r="O39" i="1" s="1"/>
  <c r="F39" i="1"/>
  <c r="G39" i="1" s="1"/>
  <c r="R39" i="1" s="1"/>
  <c r="F41" i="1"/>
  <c r="G41" i="1" s="1"/>
  <c r="R41" i="1" s="1"/>
  <c r="N26" i="1"/>
  <c r="F26" i="1"/>
  <c r="F40" i="1"/>
  <c r="Q40" i="1" s="1"/>
  <c r="N37" i="1"/>
  <c r="O37" i="1" s="1"/>
  <c r="F37" i="1"/>
  <c r="G37" i="1" s="1"/>
  <c r="R37" i="1" s="1"/>
  <c r="N35" i="1"/>
  <c r="F35" i="1"/>
  <c r="Q35" i="1" s="1"/>
  <c r="F38" i="1"/>
  <c r="Q38" i="1" s="1"/>
  <c r="F36" i="1"/>
  <c r="G36" i="1" s="1"/>
  <c r="R36" i="1" s="1"/>
  <c r="N33" i="1"/>
  <c r="F33" i="1"/>
  <c r="N30" i="1"/>
  <c r="O30" i="1" s="1"/>
  <c r="F30" i="1"/>
  <c r="G30" i="1" s="1"/>
  <c r="F32" i="1"/>
  <c r="G32" i="1" s="1"/>
  <c r="R32" i="1" s="1"/>
  <c r="N31" i="1"/>
  <c r="O31" i="1" s="1"/>
  <c r="F31" i="1"/>
  <c r="N29" i="1"/>
  <c r="O29" i="1" s="1"/>
  <c r="F29" i="1"/>
  <c r="G29" i="1" s="1"/>
  <c r="N28" i="1"/>
  <c r="O28" i="1" s="1"/>
  <c r="F28" i="1"/>
  <c r="G28" i="1" s="1"/>
  <c r="N25" i="1"/>
  <c r="F25" i="1"/>
  <c r="G25" i="1" s="1"/>
  <c r="F27" i="1"/>
  <c r="Q27" i="1" s="1"/>
  <c r="N22" i="1"/>
  <c r="O22" i="1" s="1"/>
  <c r="F22" i="1"/>
  <c r="G22" i="1" s="1"/>
  <c r="R22" i="1" s="1"/>
  <c r="N23" i="1"/>
  <c r="F23" i="1"/>
  <c r="F24" i="1"/>
  <c r="Q24" i="1" s="1"/>
  <c r="N15" i="1"/>
  <c r="O15" i="1" s="1"/>
  <c r="F15" i="1"/>
  <c r="G15" i="1" s="1"/>
  <c r="N16" i="1"/>
  <c r="F16" i="1"/>
  <c r="F21" i="1"/>
  <c r="Q21" i="1" s="1"/>
  <c r="N18" i="1"/>
  <c r="O18" i="1" s="1"/>
  <c r="F18" i="1"/>
  <c r="G18" i="1" s="1"/>
  <c r="F20" i="1"/>
  <c r="Q20" i="1" s="1"/>
  <c r="F19" i="1"/>
  <c r="G19" i="1" s="1"/>
  <c r="R19" i="1" s="1"/>
  <c r="N14" i="1"/>
  <c r="O14" i="1" s="1"/>
  <c r="F14" i="1"/>
  <c r="Q14" i="1" s="1"/>
  <c r="N13" i="1"/>
  <c r="O13" i="1" s="1"/>
  <c r="F13" i="1"/>
  <c r="Q13" i="1" s="1"/>
  <c r="F17" i="1"/>
  <c r="G17" i="1" s="1"/>
  <c r="R17" i="1" s="1"/>
  <c r="N12" i="1"/>
  <c r="O12" i="1" s="1"/>
  <c r="F12" i="1"/>
  <c r="N11" i="1"/>
  <c r="O11" i="1" s="1"/>
  <c r="F11" i="1"/>
  <c r="N10" i="1"/>
  <c r="O10" i="1" s="1"/>
  <c r="F10" i="1"/>
  <c r="G10" i="1" s="1"/>
  <c r="F9" i="1"/>
  <c r="G9" i="1" s="1"/>
  <c r="R9" i="1" s="1"/>
  <c r="F8" i="1"/>
  <c r="Q8" i="1" s="1"/>
  <c r="N7" i="1"/>
  <c r="O7" i="1" s="1"/>
  <c r="F6" i="1"/>
  <c r="F5" i="1"/>
  <c r="N86" i="1" l="1"/>
  <c r="F86" i="1"/>
  <c r="Q86" i="1" s="1"/>
  <c r="Q81" i="1"/>
  <c r="R28" i="1"/>
  <c r="R44" i="1"/>
  <c r="R10" i="1"/>
  <c r="Q16" i="1"/>
  <c r="Q29" i="1"/>
  <c r="Q26" i="1"/>
  <c r="Q31" i="1"/>
  <c r="Q32" i="1"/>
  <c r="R30" i="1"/>
  <c r="Q75" i="1"/>
  <c r="Q76" i="1"/>
  <c r="Q28" i="1"/>
  <c r="G16" i="1"/>
  <c r="Q10" i="1"/>
  <c r="Q52" i="1"/>
  <c r="Q84" i="1"/>
  <c r="Q23" i="1"/>
  <c r="R55" i="1"/>
  <c r="Q58" i="1"/>
  <c r="Q49" i="1"/>
  <c r="R18" i="1"/>
  <c r="Q36" i="1"/>
  <c r="Q42" i="1"/>
  <c r="O60" i="1"/>
  <c r="G23" i="1"/>
  <c r="Q37" i="1"/>
  <c r="Q43" i="1"/>
  <c r="Q72" i="1"/>
  <c r="G43" i="1"/>
  <c r="Q55" i="1"/>
  <c r="Q45" i="1"/>
  <c r="Q19" i="1"/>
  <c r="G26" i="1"/>
  <c r="Q50" i="1"/>
  <c r="Q9" i="1"/>
  <c r="Q22" i="1"/>
  <c r="Q78" i="1"/>
  <c r="R52" i="1"/>
  <c r="Q57" i="1"/>
  <c r="Q82" i="1"/>
  <c r="Q30" i="1"/>
  <c r="Q44" i="1"/>
  <c r="Q25" i="1"/>
  <c r="Q33" i="1"/>
  <c r="Q41" i="1"/>
  <c r="O52" i="1"/>
  <c r="Q69" i="1"/>
  <c r="Q11" i="1"/>
  <c r="Q74" i="1"/>
  <c r="G47" i="1"/>
  <c r="Q51" i="1"/>
  <c r="F60" i="1"/>
  <c r="Q60" i="1" s="1"/>
  <c r="Q12" i="1"/>
  <c r="Q70" i="1"/>
  <c r="O58" i="1"/>
  <c r="R48" i="1"/>
  <c r="R54" i="1"/>
  <c r="G35" i="1"/>
  <c r="Q48" i="1"/>
  <c r="Q53" i="1"/>
  <c r="Q17" i="1"/>
  <c r="Q15" i="1"/>
  <c r="Q77" i="1"/>
  <c r="G53" i="1"/>
  <c r="Q67" i="1"/>
  <c r="O86" i="1"/>
  <c r="R15" i="1"/>
  <c r="R29" i="1"/>
  <c r="R45" i="1"/>
  <c r="Q80" i="1"/>
  <c r="W86" i="1"/>
  <c r="G11" i="1"/>
  <c r="R11" i="1" s="1"/>
  <c r="G13" i="1"/>
  <c r="R13" i="1" s="1"/>
  <c r="G20" i="1"/>
  <c r="R20" i="1" s="1"/>
  <c r="O16" i="1"/>
  <c r="O23" i="1"/>
  <c r="O25" i="1"/>
  <c r="G31" i="1"/>
  <c r="R31" i="1" s="1"/>
  <c r="G33" i="1"/>
  <c r="O35" i="1"/>
  <c r="O26" i="1"/>
  <c r="O43" i="1"/>
  <c r="O47" i="1"/>
  <c r="G49" i="1"/>
  <c r="R49" i="1" s="1"/>
  <c r="O53" i="1"/>
  <c r="G57" i="1"/>
  <c r="R57" i="1" s="1"/>
  <c r="G34" i="1"/>
  <c r="R34" i="1" s="1"/>
  <c r="G51" i="1"/>
  <c r="R51" i="1" s="1"/>
  <c r="G67" i="1"/>
  <c r="G69" i="1"/>
  <c r="R69" i="1" s="1"/>
  <c r="G71" i="1"/>
  <c r="G73" i="1"/>
  <c r="R73" i="1" s="1"/>
  <c r="Q79" i="1"/>
  <c r="Q83" i="1"/>
  <c r="G8" i="1"/>
  <c r="R8" i="1" s="1"/>
  <c r="Q71" i="1"/>
  <c r="Q73" i="1"/>
  <c r="Q18" i="1"/>
  <c r="O33" i="1"/>
  <c r="G12" i="1"/>
  <c r="R12" i="1" s="1"/>
  <c r="G14" i="1"/>
  <c r="R14" i="1" s="1"/>
  <c r="O50" i="1"/>
  <c r="R50" i="1" s="1"/>
  <c r="G76" i="1"/>
  <c r="G78" i="1"/>
  <c r="G80" i="1"/>
  <c r="G82" i="1"/>
  <c r="G84" i="1"/>
  <c r="O42" i="1"/>
  <c r="G74" i="1"/>
  <c r="G42" i="1"/>
  <c r="G21" i="1"/>
  <c r="R21" i="1" s="1"/>
  <c r="G24" i="1"/>
  <c r="R24" i="1" s="1"/>
  <c r="G27" i="1"/>
  <c r="R27" i="1" s="1"/>
  <c r="G38" i="1"/>
  <c r="R38" i="1" s="1"/>
  <c r="G40" i="1"/>
  <c r="R40" i="1" s="1"/>
  <c r="G46" i="1"/>
  <c r="R46" i="1" s="1"/>
  <c r="G70" i="1"/>
  <c r="G72" i="1"/>
  <c r="Q39" i="1"/>
  <c r="Q54" i="1"/>
  <c r="Q68" i="1"/>
  <c r="G56" i="1"/>
  <c r="R56" i="1" s="1"/>
  <c r="G68" i="1"/>
  <c r="G86" i="1" l="1"/>
  <c r="R86" i="1" s="1"/>
  <c r="R77" i="1"/>
  <c r="G60" i="1"/>
  <c r="R60" i="1" s="1"/>
  <c r="R42" i="1"/>
  <c r="R53" i="1"/>
  <c r="R81" i="1"/>
  <c r="R67" i="1"/>
  <c r="R78" i="1"/>
  <c r="R68" i="1"/>
  <c r="R79" i="1"/>
  <c r="R71" i="1"/>
  <c r="R84" i="1"/>
  <c r="R83" i="1"/>
  <c r="R74" i="1"/>
  <c r="R58" i="1"/>
  <c r="R75" i="1"/>
  <c r="R47" i="1"/>
  <c r="R33" i="1"/>
  <c r="R43" i="1"/>
  <c r="R82" i="1"/>
  <c r="R26" i="1"/>
  <c r="R80" i="1"/>
  <c r="R16" i="1"/>
  <c r="R72" i="1"/>
  <c r="R76" i="1"/>
  <c r="R35" i="1"/>
  <c r="R70" i="1"/>
  <c r="R23" i="1"/>
  <c r="R25" i="1"/>
</calcChain>
</file>

<file path=xl/sharedStrings.xml><?xml version="1.0" encoding="utf-8"?>
<sst xmlns="http://schemas.openxmlformats.org/spreadsheetml/2006/main" count="286" uniqueCount="104">
  <si>
    <t>2022-23</t>
  </si>
  <si>
    <t>2023-24</t>
  </si>
  <si>
    <t>2024-25</t>
  </si>
  <si>
    <t>UG</t>
  </si>
  <si>
    <t>Communication Studies</t>
  </si>
  <si>
    <t>Information Science</t>
  </si>
  <si>
    <t>Applied Physics</t>
  </si>
  <si>
    <t>Computer Science</t>
  </si>
  <si>
    <t>Cybersecurity</t>
  </si>
  <si>
    <t>Information Systems</t>
  </si>
  <si>
    <t>Computer Engineering</t>
  </si>
  <si>
    <t>Electrical Engineering</t>
  </si>
  <si>
    <t>Classical Studies</t>
  </si>
  <si>
    <t>French</t>
  </si>
  <si>
    <t>German</t>
  </si>
  <si>
    <t>Spanish</t>
  </si>
  <si>
    <t>English</t>
  </si>
  <si>
    <t>Biology</t>
  </si>
  <si>
    <t>Cell, Molecular &amp; Phys Biology</t>
  </si>
  <si>
    <t>Environmental Biology</t>
  </si>
  <si>
    <t>Integrative Biology</t>
  </si>
  <si>
    <t>Kinesiology</t>
  </si>
  <si>
    <t>Organismal &amp; Environmental B</t>
  </si>
  <si>
    <t>Organismal Biology</t>
  </si>
  <si>
    <t>Neuroscience</t>
  </si>
  <si>
    <t>Computational &amp; Applied Math</t>
  </si>
  <si>
    <t>Mathematics</t>
  </si>
  <si>
    <t>American Studies</t>
  </si>
  <si>
    <t>Environmental Studies</t>
  </si>
  <si>
    <t>Global Commerce and Culture</t>
  </si>
  <si>
    <t>Interdisciplinary Studies</t>
  </si>
  <si>
    <t>Philosophy</t>
  </si>
  <si>
    <t>Biochemistry</t>
  </si>
  <si>
    <t>Chemistry</t>
  </si>
  <si>
    <t>Psychology</t>
  </si>
  <si>
    <t>Social Work</t>
  </si>
  <si>
    <t>Economics (BA)</t>
  </si>
  <si>
    <t>International Affairs</t>
  </si>
  <si>
    <t>Political Science</t>
  </si>
  <si>
    <t>Anthropology</t>
  </si>
  <si>
    <t>Criminology</t>
  </si>
  <si>
    <t>Sociology</t>
  </si>
  <si>
    <t>Art History</t>
  </si>
  <si>
    <t>Fine Arts</t>
  </si>
  <si>
    <t>Music (BA)</t>
  </si>
  <si>
    <t>Music (BM)</t>
  </si>
  <si>
    <t>Studio Art</t>
  </si>
  <si>
    <t>Theater</t>
  </si>
  <si>
    <t>Accounting (BSBA)</t>
  </si>
  <si>
    <t>Finance</t>
  </si>
  <si>
    <t>Management</t>
  </si>
  <si>
    <t>Marketing</t>
  </si>
  <si>
    <t>History</t>
  </si>
  <si>
    <t>GS</t>
  </si>
  <si>
    <t>Environmental Science (MS)</t>
  </si>
  <si>
    <t>Education</t>
  </si>
  <si>
    <t>Appl Physics &amp; Computer Sci</t>
  </si>
  <si>
    <t>Financial Analysis</t>
  </si>
  <si>
    <t>COMM</t>
  </si>
  <si>
    <t>SEC</t>
  </si>
  <si>
    <t>MCLL</t>
  </si>
  <si>
    <t>ENGL</t>
  </si>
  <si>
    <t>PSYC</t>
  </si>
  <si>
    <t>MATH</t>
  </si>
  <si>
    <t>IDST</t>
  </si>
  <si>
    <t>PHIL</t>
  </si>
  <si>
    <t>ECON</t>
  </si>
  <si>
    <t>POLS</t>
  </si>
  <si>
    <t>SSWA</t>
  </si>
  <si>
    <t>FAAH</t>
  </si>
  <si>
    <t>MTD</t>
  </si>
  <si>
    <t>ACFN</t>
  </si>
  <si>
    <t>MGMT</t>
  </si>
  <si>
    <t>HIST</t>
  </si>
  <si>
    <t>dept</t>
  </si>
  <si>
    <t>degree</t>
  </si>
  <si>
    <t>BCES</t>
  </si>
  <si>
    <t>MAT</t>
  </si>
  <si>
    <t>AVG</t>
  </si>
  <si>
    <t>TOTAL</t>
  </si>
  <si>
    <t>DEGREES CONFERRED BY MAJOR</t>
  </si>
  <si>
    <t>Delta</t>
  </si>
  <si>
    <t># Faculty</t>
  </si>
  <si>
    <t>LAMS</t>
  </si>
  <si>
    <t>Total SCHs</t>
  </si>
  <si>
    <t>3 YR AVG</t>
  </si>
  <si>
    <t>MAJOR 2</t>
  </si>
  <si>
    <t>Undergraduate Total</t>
  </si>
  <si>
    <t>Leadership</t>
  </si>
  <si>
    <t>DELTA</t>
  </si>
  <si>
    <t>TOTAL MAJORS 1 &amp; 2</t>
  </si>
  <si>
    <t>Department</t>
  </si>
  <si>
    <t>Fall 2023</t>
  </si>
  <si>
    <t>Fall 2024</t>
  </si>
  <si>
    <t>Fall 2025</t>
  </si>
  <si>
    <t>HONOR &amp; IDST</t>
  </si>
  <si>
    <t>Total</t>
  </si>
  <si>
    <t>LLC</t>
  </si>
  <si>
    <t xml:space="preserve">Delta ∆ </t>
  </si>
  <si>
    <t>Shell degree program, must keep</t>
  </si>
  <si>
    <t>Keep - FAAH is the entire degree program and eliminating majors would effectively eliminate the department</t>
  </si>
  <si>
    <t>New</t>
  </si>
  <si>
    <t>None-functioning but still on books</t>
  </si>
  <si>
    <t>Keep - linked to Music BM and not seperable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</si>
</sst>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;[Red]\(0\)"/>
    <numFmt numFmtId="165" formatCode="0_);\(0\)"/>
  </numFmts>
  <fonts count="16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rgb="FF000000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b/>
      <sz val="11"/>
      <color rgb="FFC00000"/>
      <name val="Arial"/>
      <family val="2"/>
    </font>
    <font>
      <sz val="8"/>
      <color rgb="FF000000"/>
      <name val="Arial"/>
      <family val="2"/>
    </font>
    <font>
      <b/>
      <sz val="9"/>
      <color rgb="FF000000"/>
      <name val="Arial"/>
      <family val="2"/>
    </font>
    <font>
      <b/>
      <sz val="11"/>
      <color rgb="FF000000"/>
      <name val="Arial"/>
      <family val="2"/>
      <scheme val="minor"/>
    </font>
    <font>
      <sz val="11"/>
      <color rgb="FF000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indexed="8"/>
      <name val="Arial"/>
      <family val="2"/>
      <scheme val="minor"/>
    </font>
    <font>
      <b/>
      <sz val="11"/>
      <color indexed="8"/>
      <name val="Arial"/>
      <family val="2"/>
      <scheme val="minor"/>
    </font>
    <font>
      <b/>
      <sz val="11"/>
      <color rgb="FFFF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88D2F7"/>
        <bgColor rgb="FF88D2F7"/>
      </patternFill>
    </fill>
    <fill>
      <patternFill patternType="solid">
        <fgColor rgb="FF6DB6B6"/>
        <bgColor rgb="FF6DB6B6"/>
      </patternFill>
    </fill>
    <fill>
      <patternFill patternType="solid">
        <fgColor rgb="FFC0C0C0"/>
        <bgColor rgb="FFC0C0C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0">
    <xf numFmtId="0" fontId="0" fillId="0" borderId="0" xfId="0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5" fillId="0" borderId="0" xfId="0" applyFont="1" applyAlignment="1">
      <alignment horizontal="center" vertical="top" wrapText="1" readingOrder="1"/>
    </xf>
    <xf numFmtId="0" fontId="7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horizontal="left" vertical="top" wrapText="1" readingOrder="1"/>
    </xf>
    <xf numFmtId="3" fontId="4" fillId="2" borderId="1" xfId="0" applyNumberFormat="1" applyFont="1" applyFill="1" applyBorder="1" applyAlignment="1">
      <alignment horizontal="center" vertical="top"/>
    </xf>
    <xf numFmtId="3" fontId="7" fillId="2" borderId="1" xfId="0" applyNumberFormat="1" applyFont="1" applyFill="1" applyBorder="1" applyAlignment="1">
      <alignment horizontal="center" vertical="top"/>
    </xf>
    <xf numFmtId="0" fontId="5" fillId="3" borderId="2" xfId="0" applyFont="1" applyFill="1" applyBorder="1" applyAlignment="1">
      <alignment horizontal="left" vertical="top" wrapText="1" readingOrder="1"/>
    </xf>
    <xf numFmtId="0" fontId="5" fillId="3" borderId="2" xfId="0" applyFont="1" applyFill="1" applyBorder="1" applyAlignment="1">
      <alignment horizontal="left" vertical="top" readingOrder="1"/>
    </xf>
    <xf numFmtId="3" fontId="4" fillId="3" borderId="2" xfId="0" applyNumberFormat="1" applyFont="1" applyFill="1" applyBorder="1" applyAlignment="1">
      <alignment horizontal="center" vertical="top"/>
    </xf>
    <xf numFmtId="3" fontId="4" fillId="3" borderId="1" xfId="0" applyNumberFormat="1" applyFont="1" applyFill="1" applyBorder="1" applyAlignment="1">
      <alignment horizontal="center" vertical="top"/>
    </xf>
    <xf numFmtId="3" fontId="7" fillId="3" borderId="1" xfId="0" applyNumberFormat="1" applyFont="1" applyFill="1" applyBorder="1" applyAlignment="1">
      <alignment horizontal="center" vertical="top"/>
    </xf>
    <xf numFmtId="0" fontId="5" fillId="0" borderId="0" xfId="0" applyFont="1" applyAlignment="1">
      <alignment horizontal="left" vertical="top" wrapText="1" readingOrder="1"/>
    </xf>
    <xf numFmtId="3" fontId="4" fillId="0" borderId="0" xfId="0" applyNumberFormat="1" applyFont="1" applyAlignment="1">
      <alignment horizontal="center" vertical="top"/>
    </xf>
    <xf numFmtId="3" fontId="7" fillId="0" borderId="0" xfId="0" applyNumberFormat="1" applyFont="1" applyAlignment="1">
      <alignment horizontal="center" vertical="top"/>
    </xf>
    <xf numFmtId="3" fontId="4" fillId="0" borderId="0" xfId="0" applyNumberFormat="1" applyFont="1" applyAlignment="1">
      <alignment vertical="top"/>
    </xf>
    <xf numFmtId="3" fontId="8" fillId="2" borderId="2" xfId="0" applyNumberFormat="1" applyFont="1" applyFill="1" applyBorder="1" applyAlignment="1">
      <alignment horizontal="center" vertical="top"/>
    </xf>
    <xf numFmtId="3" fontId="8" fillId="3" borderId="2" xfId="0" applyNumberFormat="1" applyFont="1" applyFill="1" applyBorder="1" applyAlignment="1">
      <alignment horizontal="center" vertical="top"/>
    </xf>
    <xf numFmtId="3" fontId="8" fillId="4" borderId="2" xfId="0" applyNumberFormat="1" applyFont="1" applyFill="1" applyBorder="1" applyAlignment="1">
      <alignment horizontal="center" vertical="top"/>
    </xf>
    <xf numFmtId="3" fontId="8" fillId="0" borderId="0" xfId="0" applyNumberFormat="1" applyFont="1" applyAlignment="1">
      <alignment horizontal="center" vertical="top"/>
    </xf>
    <xf numFmtId="0" fontId="9" fillId="0" borderId="0" xfId="0" applyFont="1" applyAlignment="1">
      <alignment horizontal="center" vertical="top" readingOrder="1"/>
    </xf>
    <xf numFmtId="0" fontId="5" fillId="0" borderId="0" xfId="0" applyFont="1" applyAlignment="1">
      <alignment vertical="top"/>
    </xf>
    <xf numFmtId="3" fontId="7" fillId="3" borderId="2" xfId="0" applyNumberFormat="1" applyFont="1" applyFill="1" applyBorder="1" applyAlignment="1">
      <alignment horizontal="center" vertical="top"/>
    </xf>
    <xf numFmtId="0" fontId="10" fillId="0" borderId="0" xfId="0" applyFont="1" applyAlignment="1">
      <alignment vertical="top" wrapText="1"/>
    </xf>
    <xf numFmtId="0" fontId="5" fillId="2" borderId="2" xfId="0" applyFont="1" applyFill="1" applyBorder="1" applyAlignment="1">
      <alignment horizontal="left" vertical="top" wrapText="1" readingOrder="1"/>
    </xf>
    <xf numFmtId="3" fontId="6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1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3" fontId="11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164" fontId="10" fillId="0" borderId="0" xfId="0" applyNumberFormat="1" applyFont="1" applyAlignment="1">
      <alignment vertical="top"/>
    </xf>
    <xf numFmtId="164" fontId="6" fillId="0" borderId="0" xfId="0" applyNumberFormat="1" applyFont="1" applyAlignment="1">
      <alignment vertical="top"/>
    </xf>
    <xf numFmtId="164" fontId="6" fillId="0" borderId="0" xfId="0" applyNumberFormat="1" applyFont="1" applyAlignment="1">
      <alignment horizontal="right" vertical="top"/>
    </xf>
    <xf numFmtId="3" fontId="10" fillId="0" borderId="0" xfId="0" applyNumberFormat="1" applyFont="1" applyAlignment="1">
      <alignment vertical="top"/>
    </xf>
    <xf numFmtId="0" fontId="13" fillId="0" borderId="3" xfId="0" applyFont="1" applyBorder="1" applyAlignment="1">
      <alignment vertical="top"/>
    </xf>
    <xf numFmtId="0" fontId="14" fillId="0" borderId="3" xfId="0" applyFont="1" applyBorder="1" applyAlignment="1">
      <alignment horizontal="left" vertical="top" wrapText="1" readingOrder="1"/>
    </xf>
    <xf numFmtId="0" fontId="14" fillId="0" borderId="3" xfId="0" applyFont="1" applyBorder="1" applyAlignment="1">
      <alignment horizontal="center" vertical="top" wrapText="1" readingOrder="1"/>
    </xf>
    <xf numFmtId="1" fontId="11" fillId="0" borderId="0" xfId="0" applyNumberFormat="1" applyFont="1" applyAlignment="1">
      <alignment vertical="top"/>
    </xf>
    <xf numFmtId="164" fontId="11" fillId="0" borderId="0" xfId="0" applyNumberFormat="1" applyFont="1" applyAlignment="1">
      <alignment vertical="top"/>
    </xf>
    <xf numFmtId="3" fontId="12" fillId="0" borderId="0" xfId="0" applyNumberFormat="1" applyFont="1" applyAlignment="1">
      <alignment vertical="top"/>
    </xf>
    <xf numFmtId="164" fontId="12" fillId="0" borderId="0" xfId="0" applyNumberFormat="1" applyFont="1" applyAlignment="1">
      <alignment vertical="top"/>
    </xf>
    <xf numFmtId="0" fontId="12" fillId="0" borderId="0" xfId="0" applyFont="1"/>
    <xf numFmtId="1" fontId="10" fillId="0" borderId="0" xfId="0" applyNumberFormat="1" applyFont="1" applyAlignment="1">
      <alignment vertical="top"/>
    </xf>
    <xf numFmtId="3" fontId="12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horizontal="left" vertical="top" wrapText="1" readingOrder="1"/>
    </xf>
    <xf numFmtId="165" fontId="14" fillId="0" borderId="0" xfId="0" applyNumberFormat="1" applyFont="1" applyAlignment="1">
      <alignment horizontal="center" vertical="top"/>
    </xf>
    <xf numFmtId="0" fontId="15" fillId="0" borderId="0" xfId="0" applyFont="1" applyAlignment="1">
      <alignment vertical="top"/>
    </xf>
    <xf numFmtId="0" fontId="15" fillId="0" borderId="3" xfId="0" applyFont="1" applyBorder="1" applyAlignment="1">
      <alignment horizontal="center" vertical="top" wrapText="1" readingOrder="1"/>
    </xf>
    <xf numFmtId="165" fontId="15" fillId="0" borderId="0" xfId="0" applyNumberFormat="1" applyFont="1" applyAlignment="1">
      <alignment horizontal="center" vertical="top"/>
    </xf>
    <xf numFmtId="3" fontId="15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3" fontId="15" fillId="0" borderId="0" xfId="0" applyNumberFormat="1" applyFont="1" applyAlignment="1">
      <alignment vertical="top"/>
    </xf>
    <xf numFmtId="1" fontId="10" fillId="0" borderId="0" xfId="0" applyNumberFormat="1" applyFont="1" applyAlignment="1">
      <alignment horizontal="center" vertical="top"/>
    </xf>
    <xf numFmtId="164" fontId="10" fillId="0" borderId="0" xfId="0" applyNumberFormat="1" applyFont="1" applyAlignment="1">
      <alignment horizontal="center" vertical="top"/>
    </xf>
    <xf numFmtId="0" fontId="11" fillId="0" borderId="0" xfId="0" applyFont="1" applyAlignment="1">
      <alignment horizontal="center" vertical="top"/>
    </xf>
    <xf numFmtId="0" fontId="11" fillId="5" borderId="0" xfId="0" applyFont="1" applyFill="1" applyAlignment="1">
      <alignment vertical="top"/>
    </xf>
    <xf numFmtId="1" fontId="10" fillId="5" borderId="0" xfId="0" applyNumberFormat="1" applyFont="1" applyFill="1" applyAlignment="1">
      <alignment horizontal="center" vertical="top"/>
    </xf>
    <xf numFmtId="0" fontId="10" fillId="5" borderId="0" xfId="0" applyFont="1" applyFill="1" applyAlignment="1">
      <alignment horizontal="center" vertical="top"/>
    </xf>
    <xf numFmtId="3" fontId="10" fillId="5" borderId="0" xfId="0" applyNumberFormat="1" applyFont="1" applyFill="1" applyAlignment="1">
      <alignment vertical="top"/>
    </xf>
    <xf numFmtId="164" fontId="10" fillId="5" borderId="0" xfId="0" applyNumberFormat="1" applyFont="1" applyFill="1" applyAlignment="1">
      <alignment vertical="top"/>
    </xf>
    <xf numFmtId="38" fontId="11" fillId="0" borderId="0" xfId="0" applyNumberFormat="1" applyFont="1" applyAlignment="1">
      <alignment vertical="top"/>
    </xf>
    <xf numFmtId="38" fontId="10" fillId="0" borderId="0" xfId="0" applyNumberFormat="1" applyFont="1" applyAlignment="1">
      <alignment horizontal="center" vertical="top"/>
    </xf>
    <xf numFmtId="38" fontId="10" fillId="0" borderId="0" xfId="0" applyNumberFormat="1" applyFont="1" applyAlignment="1">
      <alignment vertical="top"/>
    </xf>
    <xf numFmtId="38" fontId="12" fillId="0" borderId="0" xfId="0" applyNumberFormat="1" applyFont="1" applyAlignment="1">
      <alignment vertical="top"/>
    </xf>
    <xf numFmtId="0" fontId="5" fillId="0" borderId="4" xfId="0" applyFont="1" applyBorder="1" applyAlignment="1">
      <alignment vertical="top"/>
    </xf>
    <xf numFmtId="0" fontId="5" fillId="0" borderId="4" xfId="0" applyFont="1" applyBorder="1" applyAlignment="1">
      <alignment horizontal="left" vertical="top" wrapText="1" readingOrder="1"/>
    </xf>
    <xf numFmtId="3" fontId="4" fillId="0" borderId="4" xfId="0" applyNumberFormat="1" applyFont="1" applyBorder="1" applyAlignment="1">
      <alignment horizontal="center" vertical="top"/>
    </xf>
    <xf numFmtId="3" fontId="7" fillId="0" borderId="4" xfId="0" applyNumberFormat="1" applyFont="1" applyBorder="1" applyAlignment="1">
      <alignment horizontal="center" vertical="top"/>
    </xf>
    <xf numFmtId="3" fontId="6" fillId="0" borderId="4" xfId="0" applyNumberFormat="1" applyFont="1" applyBorder="1" applyAlignment="1">
      <alignment vertical="top"/>
    </xf>
    <xf numFmtId="164" fontId="6" fillId="0" borderId="4" xfId="0" applyNumberFormat="1" applyFont="1" applyBorder="1" applyAlignment="1">
      <alignment vertical="top"/>
    </xf>
    <xf numFmtId="0" fontId="3" fillId="0" borderId="4" xfId="0" applyFont="1" applyBorder="1" applyAlignment="1">
      <alignment vertical="top"/>
    </xf>
    <xf numFmtId="0" fontId="12" fillId="0" borderId="4" xfId="0" applyFont="1" applyBorder="1"/>
    <xf numFmtId="3" fontId="12" fillId="0" borderId="4" xfId="0" applyNumberFormat="1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3" fontId="15" fillId="0" borderId="4" xfId="0" applyNumberFormat="1" applyFont="1" applyBorder="1" applyAlignment="1">
      <alignment horizontal="center"/>
    </xf>
    <xf numFmtId="1" fontId="10" fillId="0" borderId="4" xfId="0" applyNumberFormat="1" applyFont="1" applyBorder="1" applyAlignment="1">
      <alignment vertical="top"/>
    </xf>
    <xf numFmtId="164" fontId="10" fillId="0" borderId="4" xfId="0" applyNumberFormat="1" applyFont="1" applyBorder="1" applyAlignment="1">
      <alignment vertical="top"/>
    </xf>
    <xf numFmtId="0" fontId="11" fillId="0" borderId="4" xfId="0" applyFont="1" applyBorder="1" applyAlignment="1">
      <alignment vertical="top"/>
    </xf>
    <xf numFmtId="3" fontId="10" fillId="5" borderId="4" xfId="0" applyNumberFormat="1" applyFont="1" applyFill="1" applyBorder="1" applyAlignment="1">
      <alignment vertical="top"/>
    </xf>
    <xf numFmtId="164" fontId="10" fillId="5" borderId="4" xfId="0" applyNumberFormat="1" applyFont="1" applyFill="1" applyBorder="1" applyAlignment="1">
      <alignment vertical="top"/>
    </xf>
    <xf numFmtId="38" fontId="11" fillId="0" borderId="4" xfId="0" applyNumberFormat="1" applyFont="1" applyBorder="1" applyAlignment="1">
      <alignment vertical="top"/>
    </xf>
    <xf numFmtId="0" fontId="11" fillId="6" borderId="0" xfId="0" applyFont="1" applyFill="1" applyAlignment="1">
      <alignment vertical="top"/>
    </xf>
    <xf numFmtId="0" fontId="11" fillId="7" borderId="0" xfId="0" applyFont="1" applyFill="1" applyAlignment="1">
      <alignment vertical="top"/>
    </xf>
    <xf numFmtId="0" fontId="10" fillId="5" borderId="0" xfId="0" applyFont="1" applyFill="1" applyAlignment="1">
      <alignment horizontal="center" vertical="top"/>
    </xf>
    <xf numFmtId="0" fontId="11" fillId="0" borderId="0" xfId="0" applyFont="1" applyAlignment="1">
      <alignment horizontal="left" vertical="top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AC985"/>
  <sheetViews>
    <sheetView tabSelected="1" zoomScaleNormal="100" workbookViewId="0">
      <selection activeCell="T28" sqref="T28"/>
    </sheetView>
  </sheetViews>
  <sheetFormatPr baseColWidth="10" defaultColWidth="12.5" defaultRowHeight="15" customHeight="1" x14ac:dyDescent="0.15"/>
  <cols>
    <col min="1" max="1" width="10.33203125" style="33" customWidth="1"/>
    <col min="2" max="2" width="32.6640625" style="30" bestFit="1" customWidth="1"/>
    <col min="3" max="5" width="8.5" style="30" bestFit="1" customWidth="1"/>
    <col min="6" max="6" width="8.5" style="33" customWidth="1"/>
    <col min="7" max="7" width="8.6640625" style="34" customWidth="1"/>
    <col min="8" max="8" width="6.83203125" style="30" customWidth="1"/>
    <col min="9" max="9" width="12.5" style="30"/>
    <col min="10" max="10" width="31" style="33" customWidth="1"/>
    <col min="11" max="11" width="8.6640625" style="37" customWidth="1"/>
    <col min="12" max="12" width="8.6640625" style="33" customWidth="1"/>
    <col min="13" max="13" width="8.6640625" style="51" customWidth="1"/>
    <col min="14" max="14" width="10.5" style="41" customWidth="1"/>
    <col min="15" max="15" width="8.6640625" style="42" customWidth="1"/>
    <col min="16" max="16" width="5.5" style="30" customWidth="1"/>
    <col min="17" max="17" width="12.5" style="60"/>
    <col min="18" max="18" width="12.5" style="60" customWidth="1"/>
    <col min="19" max="19" width="8" style="30" customWidth="1"/>
    <col min="20" max="20" width="12.5" style="65" customWidth="1"/>
    <col min="21" max="21" width="12.5" style="30"/>
    <col min="22" max="22" width="62.6640625" style="65" customWidth="1"/>
    <col min="23" max="23" width="12.5" style="65" customWidth="1"/>
    <col min="24" max="24" width="6" style="65" customWidth="1"/>
    <col min="25" max="27" width="12.5" style="65" hidden="1" customWidth="1"/>
    <col min="28" max="29" width="12.5" style="65"/>
    <col min="30" max="16384" width="12.5" style="30"/>
  </cols>
  <sheetData>
    <row r="1" spans="1:22" ht="15" customHeight="1" x14ac:dyDescent="0.15">
      <c r="A1" s="24"/>
      <c r="B1" s="31"/>
      <c r="E1" s="2"/>
    </row>
    <row r="2" spans="1:22" ht="15" customHeight="1" x14ac:dyDescent="0.15">
      <c r="A2" s="24" t="s">
        <v>80</v>
      </c>
      <c r="B2" s="31"/>
      <c r="E2" s="2"/>
    </row>
    <row r="3" spans="1:22" ht="15" customHeight="1" x14ac:dyDescent="0.15">
      <c r="A3" s="24"/>
      <c r="B3" s="31"/>
      <c r="E3" s="2"/>
    </row>
    <row r="4" spans="1:22" ht="15" customHeight="1" x14ac:dyDescent="0.15">
      <c r="A4" s="24"/>
      <c r="B4" s="4"/>
      <c r="C4" s="5" t="s">
        <v>0</v>
      </c>
      <c r="D4" s="5" t="s">
        <v>1</v>
      </c>
      <c r="E4" s="6" t="s">
        <v>2</v>
      </c>
      <c r="F4" s="29" t="s">
        <v>78</v>
      </c>
      <c r="G4" s="35"/>
      <c r="H4" s="2"/>
      <c r="Q4" s="88" t="s">
        <v>90</v>
      </c>
      <c r="R4" s="88"/>
    </row>
    <row r="5" spans="1:22" ht="15" customHeight="1" x14ac:dyDescent="0.15">
      <c r="A5" s="27" t="s">
        <v>79</v>
      </c>
      <c r="B5" s="7"/>
      <c r="C5" s="8">
        <v>1143</v>
      </c>
      <c r="D5" s="8">
        <v>1095</v>
      </c>
      <c r="E5" s="9">
        <v>1002</v>
      </c>
      <c r="F5" s="28">
        <f>AVERAGE(C5:E5)</f>
        <v>1080</v>
      </c>
      <c r="G5" s="35"/>
      <c r="H5" s="2"/>
      <c r="K5" s="33"/>
      <c r="N5" s="57" t="s">
        <v>85</v>
      </c>
      <c r="O5" s="58" t="s">
        <v>89</v>
      </c>
      <c r="P5" s="59"/>
      <c r="Q5" s="61" t="s">
        <v>85</v>
      </c>
      <c r="R5" s="62" t="s">
        <v>89</v>
      </c>
    </row>
    <row r="6" spans="1:22" ht="15" customHeight="1" thickBot="1" x14ac:dyDescent="0.2">
      <c r="A6" s="10" t="s">
        <v>3</v>
      </c>
      <c r="B6" s="10"/>
      <c r="C6" s="13">
        <v>1053</v>
      </c>
      <c r="D6" s="13">
        <v>1026</v>
      </c>
      <c r="E6" s="14">
        <v>940</v>
      </c>
      <c r="F6" s="28">
        <f>AVERAGE(C6:E6)</f>
        <v>1006.3333333333334</v>
      </c>
      <c r="G6" s="36" t="s">
        <v>81</v>
      </c>
      <c r="H6" s="2"/>
      <c r="I6" s="38"/>
      <c r="J6" s="39" t="s">
        <v>86</v>
      </c>
      <c r="K6" s="40" t="s">
        <v>0</v>
      </c>
      <c r="L6" s="40" t="s">
        <v>1</v>
      </c>
      <c r="M6" s="52" t="s">
        <v>2</v>
      </c>
    </row>
    <row r="7" spans="1:22" ht="15" customHeight="1" x14ac:dyDescent="0.15">
      <c r="A7" s="11" t="s">
        <v>74</v>
      </c>
      <c r="B7" s="10" t="s">
        <v>75</v>
      </c>
      <c r="C7" s="12"/>
      <c r="D7" s="12"/>
      <c r="E7" s="25"/>
      <c r="F7" s="28"/>
      <c r="G7" s="35"/>
      <c r="H7" s="2"/>
      <c r="I7" s="49" t="s">
        <v>87</v>
      </c>
      <c r="J7" s="49"/>
      <c r="K7" s="50">
        <v>109</v>
      </c>
      <c r="L7" s="50">
        <v>114</v>
      </c>
      <c r="M7" s="53">
        <v>120</v>
      </c>
      <c r="N7" s="46">
        <f>AVERAGE(K7:M7)</f>
        <v>114.33333333333333</v>
      </c>
      <c r="O7" s="34">
        <f>M7-N7</f>
        <v>5.6666666666666714</v>
      </c>
    </row>
    <row r="8" spans="1:22" ht="15" customHeight="1" x14ac:dyDescent="0.15">
      <c r="A8" s="24" t="s">
        <v>64</v>
      </c>
      <c r="B8" s="15" t="s">
        <v>24</v>
      </c>
      <c r="C8" s="16">
        <v>1</v>
      </c>
      <c r="D8" s="16">
        <v>0</v>
      </c>
      <c r="E8" s="17">
        <v>0</v>
      </c>
      <c r="F8" s="28">
        <f t="shared" ref="F8:F39" si="0">AVERAGE(C8:E8)</f>
        <v>0.33333333333333331</v>
      </c>
      <c r="G8" s="35">
        <f t="shared" ref="G8:G39" si="1">E8-F8</f>
        <v>-0.33333333333333331</v>
      </c>
      <c r="H8" s="2"/>
      <c r="I8" s="24"/>
      <c r="K8" s="33"/>
      <c r="N8" s="46"/>
      <c r="O8" s="34"/>
      <c r="Q8" s="63">
        <f t="shared" ref="Q8:Q39" si="2">F8+N8</f>
        <v>0.33333333333333331</v>
      </c>
      <c r="R8" s="64">
        <f t="shared" ref="R8:R39" si="3">G8+O8</f>
        <v>-0.33333333333333331</v>
      </c>
      <c r="S8" s="87" t="s">
        <v>102</v>
      </c>
    </row>
    <row r="9" spans="1:22" ht="15" customHeight="1" x14ac:dyDescent="0.15">
      <c r="A9" s="24" t="s">
        <v>64</v>
      </c>
      <c r="B9" s="15" t="s">
        <v>30</v>
      </c>
      <c r="C9" s="16">
        <v>1</v>
      </c>
      <c r="D9" s="16">
        <v>0</v>
      </c>
      <c r="E9" s="17">
        <v>1</v>
      </c>
      <c r="F9" s="28">
        <f t="shared" si="0"/>
        <v>0.66666666666666663</v>
      </c>
      <c r="G9" s="35">
        <f t="shared" si="1"/>
        <v>0.33333333333333337</v>
      </c>
      <c r="H9" s="2"/>
      <c r="I9" s="24"/>
      <c r="K9" s="33"/>
      <c r="N9" s="46"/>
      <c r="O9" s="34"/>
      <c r="Q9" s="63">
        <f t="shared" si="2"/>
        <v>0.66666666666666663</v>
      </c>
      <c r="R9" s="64">
        <f t="shared" si="3"/>
        <v>0.33333333333333337</v>
      </c>
      <c r="S9" s="30" t="s">
        <v>99</v>
      </c>
    </row>
    <row r="10" spans="1:22" ht="15" customHeight="1" x14ac:dyDescent="0.15">
      <c r="A10" s="24" t="s">
        <v>60</v>
      </c>
      <c r="B10" s="15" t="s">
        <v>14</v>
      </c>
      <c r="C10" s="16">
        <v>0</v>
      </c>
      <c r="D10" s="16">
        <v>0</v>
      </c>
      <c r="E10" s="17">
        <v>2</v>
      </c>
      <c r="F10" s="28">
        <f t="shared" si="0"/>
        <v>0.66666666666666663</v>
      </c>
      <c r="G10" s="35">
        <f t="shared" si="1"/>
        <v>1.3333333333333335</v>
      </c>
      <c r="H10" s="3"/>
      <c r="I10" s="24" t="s">
        <v>60</v>
      </c>
      <c r="J10" s="45" t="s">
        <v>14</v>
      </c>
      <c r="K10" s="48"/>
      <c r="L10" s="47">
        <v>1</v>
      </c>
      <c r="M10" s="55"/>
      <c r="N10" s="46">
        <f t="shared" ref="N10:N16" si="4">AVERAGE(K10:M10)</f>
        <v>1</v>
      </c>
      <c r="O10" s="34">
        <f t="shared" ref="O10:O16" si="5">M10-N10</f>
        <v>-1</v>
      </c>
      <c r="Q10" s="63">
        <f t="shared" si="2"/>
        <v>1.6666666666666665</v>
      </c>
      <c r="R10" s="64">
        <f t="shared" si="3"/>
        <v>0.33333333333333348</v>
      </c>
      <c r="S10" s="86"/>
    </row>
    <row r="11" spans="1:22" ht="15" customHeight="1" x14ac:dyDescent="0.15">
      <c r="A11" s="24" t="s">
        <v>60</v>
      </c>
      <c r="B11" s="15" t="s">
        <v>13</v>
      </c>
      <c r="C11" s="16">
        <v>2</v>
      </c>
      <c r="D11" s="16">
        <v>1</v>
      </c>
      <c r="E11" s="17">
        <v>0</v>
      </c>
      <c r="F11" s="28">
        <f t="shared" si="0"/>
        <v>1</v>
      </c>
      <c r="G11" s="35">
        <f t="shared" si="1"/>
        <v>-1</v>
      </c>
      <c r="H11" s="2"/>
      <c r="I11" s="24" t="s">
        <v>60</v>
      </c>
      <c r="J11" s="45" t="s">
        <v>13</v>
      </c>
      <c r="K11" s="47">
        <v>1</v>
      </c>
      <c r="L11" s="48"/>
      <c r="M11" s="55"/>
      <c r="N11" s="46">
        <f t="shared" si="4"/>
        <v>1</v>
      </c>
      <c r="O11" s="34">
        <f t="shared" si="5"/>
        <v>-1</v>
      </c>
      <c r="Q11" s="63">
        <f t="shared" si="2"/>
        <v>2</v>
      </c>
      <c r="R11" s="64">
        <f t="shared" si="3"/>
        <v>-2</v>
      </c>
      <c r="S11" s="86"/>
    </row>
    <row r="12" spans="1:22" ht="15" customHeight="1" x14ac:dyDescent="0.15">
      <c r="A12" s="24" t="s">
        <v>59</v>
      </c>
      <c r="B12" s="15" t="s">
        <v>9</v>
      </c>
      <c r="C12" s="16">
        <v>1</v>
      </c>
      <c r="D12" s="16"/>
      <c r="E12" s="17"/>
      <c r="F12" s="28">
        <f t="shared" si="0"/>
        <v>1</v>
      </c>
      <c r="G12" s="35">
        <f t="shared" si="1"/>
        <v>-1</v>
      </c>
      <c r="H12" s="2"/>
      <c r="I12" s="24" t="s">
        <v>59</v>
      </c>
      <c r="J12" s="45" t="s">
        <v>9</v>
      </c>
      <c r="K12" s="47">
        <v>1</v>
      </c>
      <c r="L12" s="48"/>
      <c r="M12" s="55"/>
      <c r="N12" s="46">
        <f t="shared" si="4"/>
        <v>1</v>
      </c>
      <c r="O12" s="34">
        <f t="shared" si="5"/>
        <v>-1</v>
      </c>
      <c r="Q12" s="63">
        <f t="shared" si="2"/>
        <v>2</v>
      </c>
      <c r="R12" s="64">
        <f t="shared" si="3"/>
        <v>-2</v>
      </c>
      <c r="S12" s="87" t="s">
        <v>102</v>
      </c>
    </row>
    <row r="13" spans="1:22" ht="15" customHeight="1" x14ac:dyDescent="0.15">
      <c r="A13" s="24" t="s">
        <v>69</v>
      </c>
      <c r="B13" s="15" t="s">
        <v>43</v>
      </c>
      <c r="C13" s="16">
        <v>3</v>
      </c>
      <c r="D13" s="16">
        <v>2</v>
      </c>
      <c r="E13" s="17">
        <v>0</v>
      </c>
      <c r="F13" s="28">
        <f t="shared" si="0"/>
        <v>1.6666666666666667</v>
      </c>
      <c r="G13" s="35">
        <f t="shared" si="1"/>
        <v>-1.6666666666666667</v>
      </c>
      <c r="H13" s="2"/>
      <c r="I13" s="24" t="s">
        <v>69</v>
      </c>
      <c r="J13" s="45" t="s">
        <v>43</v>
      </c>
      <c r="K13" s="48"/>
      <c r="L13" s="47">
        <v>2</v>
      </c>
      <c r="M13" s="55"/>
      <c r="N13" s="46">
        <f t="shared" si="4"/>
        <v>2</v>
      </c>
      <c r="O13" s="34">
        <f t="shared" si="5"/>
        <v>-2</v>
      </c>
      <c r="Q13" s="63">
        <f t="shared" si="2"/>
        <v>3.666666666666667</v>
      </c>
      <c r="R13" s="64">
        <f t="shared" si="3"/>
        <v>-3.666666666666667</v>
      </c>
      <c r="S13" s="89" t="s">
        <v>100</v>
      </c>
      <c r="T13" s="89"/>
      <c r="U13" s="89"/>
      <c r="V13" s="89"/>
    </row>
    <row r="14" spans="1:22" ht="15" customHeight="1" x14ac:dyDescent="0.15">
      <c r="A14" s="24" t="s">
        <v>69</v>
      </c>
      <c r="B14" s="15" t="s">
        <v>42</v>
      </c>
      <c r="C14" s="16">
        <v>1</v>
      </c>
      <c r="D14" s="16">
        <v>1</v>
      </c>
      <c r="E14" s="17">
        <v>7</v>
      </c>
      <c r="F14" s="28">
        <f t="shared" si="0"/>
        <v>3</v>
      </c>
      <c r="G14" s="35">
        <f t="shared" si="1"/>
        <v>4</v>
      </c>
      <c r="H14" s="2"/>
      <c r="I14" s="24" t="s">
        <v>69</v>
      </c>
      <c r="J14" s="45" t="s">
        <v>42</v>
      </c>
      <c r="K14" s="47"/>
      <c r="L14" s="47">
        <v>1</v>
      </c>
      <c r="M14" s="55"/>
      <c r="N14" s="46">
        <f t="shared" si="4"/>
        <v>1</v>
      </c>
      <c r="O14" s="34">
        <f t="shared" si="5"/>
        <v>-1</v>
      </c>
      <c r="Q14" s="63">
        <f t="shared" si="2"/>
        <v>4</v>
      </c>
      <c r="R14" s="64">
        <f t="shared" si="3"/>
        <v>3</v>
      </c>
      <c r="S14" s="89"/>
      <c r="T14" s="89"/>
      <c r="U14" s="89"/>
      <c r="V14" s="89"/>
    </row>
    <row r="15" spans="1:22" ht="15" customHeight="1" x14ac:dyDescent="0.15">
      <c r="A15" s="24" t="s">
        <v>68</v>
      </c>
      <c r="B15" s="15" t="s">
        <v>39</v>
      </c>
      <c r="C15" s="16">
        <v>4</v>
      </c>
      <c r="D15" s="16">
        <v>4</v>
      </c>
      <c r="E15" s="17">
        <v>1</v>
      </c>
      <c r="F15" s="28">
        <f t="shared" si="0"/>
        <v>3</v>
      </c>
      <c r="G15" s="35">
        <f t="shared" si="1"/>
        <v>-2</v>
      </c>
      <c r="H15" s="2"/>
      <c r="I15" s="24" t="s">
        <v>68</v>
      </c>
      <c r="J15" s="45" t="s">
        <v>39</v>
      </c>
      <c r="K15" s="47">
        <v>1</v>
      </c>
      <c r="L15" s="47">
        <v>4</v>
      </c>
      <c r="M15" s="54">
        <v>2</v>
      </c>
      <c r="N15" s="46">
        <f t="shared" si="4"/>
        <v>2.3333333333333335</v>
      </c>
      <c r="O15" s="34">
        <f t="shared" si="5"/>
        <v>-0.33333333333333348</v>
      </c>
      <c r="Q15" s="63">
        <f t="shared" si="2"/>
        <v>5.3333333333333339</v>
      </c>
      <c r="R15" s="64">
        <f t="shared" si="3"/>
        <v>-2.3333333333333335</v>
      </c>
      <c r="S15" s="86"/>
    </row>
    <row r="16" spans="1:22" ht="15" customHeight="1" x14ac:dyDescent="0.15">
      <c r="A16" s="24" t="s">
        <v>60</v>
      </c>
      <c r="B16" s="15" t="s">
        <v>12</v>
      </c>
      <c r="C16" s="16">
        <v>2</v>
      </c>
      <c r="D16" s="16">
        <v>4</v>
      </c>
      <c r="E16" s="17">
        <v>4</v>
      </c>
      <c r="F16" s="28">
        <f t="shared" si="0"/>
        <v>3.3333333333333335</v>
      </c>
      <c r="G16" s="35">
        <f t="shared" si="1"/>
        <v>0.66666666666666652</v>
      </c>
      <c r="H16" s="2"/>
      <c r="I16" s="24" t="s">
        <v>60</v>
      </c>
      <c r="J16" s="45" t="s">
        <v>12</v>
      </c>
      <c r="K16" s="47">
        <v>1</v>
      </c>
      <c r="L16" s="47">
        <v>3</v>
      </c>
      <c r="M16" s="55"/>
      <c r="N16" s="46">
        <f t="shared" si="4"/>
        <v>2</v>
      </c>
      <c r="O16" s="34">
        <f t="shared" si="5"/>
        <v>-2</v>
      </c>
      <c r="Q16" s="63">
        <f t="shared" si="2"/>
        <v>5.3333333333333339</v>
      </c>
      <c r="R16" s="64">
        <f t="shared" si="3"/>
        <v>-1.3333333333333335</v>
      </c>
      <c r="S16" s="86"/>
    </row>
    <row r="17" spans="1:29" ht="15" customHeight="1" x14ac:dyDescent="0.15">
      <c r="A17" s="24" t="s">
        <v>76</v>
      </c>
      <c r="B17" s="15" t="s">
        <v>19</v>
      </c>
      <c r="C17" s="16">
        <v>10</v>
      </c>
      <c r="D17" s="16">
        <v>1</v>
      </c>
      <c r="E17" s="17">
        <v>0</v>
      </c>
      <c r="F17" s="28">
        <f t="shared" si="0"/>
        <v>3.6666666666666665</v>
      </c>
      <c r="G17" s="35">
        <f t="shared" si="1"/>
        <v>-3.6666666666666665</v>
      </c>
      <c r="H17" s="2"/>
      <c r="I17" s="24"/>
      <c r="K17" s="33"/>
      <c r="N17" s="46"/>
      <c r="O17" s="34"/>
      <c r="Q17" s="63">
        <f t="shared" si="2"/>
        <v>3.6666666666666665</v>
      </c>
      <c r="R17" s="64">
        <f t="shared" si="3"/>
        <v>-3.6666666666666665</v>
      </c>
      <c r="S17" s="87" t="s">
        <v>102</v>
      </c>
    </row>
    <row r="18" spans="1:29" ht="15" customHeight="1" x14ac:dyDescent="0.15">
      <c r="A18" s="24" t="s">
        <v>63</v>
      </c>
      <c r="B18" s="15" t="s">
        <v>25</v>
      </c>
      <c r="C18" s="16">
        <v>5</v>
      </c>
      <c r="D18" s="16">
        <v>5</v>
      </c>
      <c r="E18" s="17">
        <v>2</v>
      </c>
      <c r="F18" s="28">
        <f t="shared" si="0"/>
        <v>4</v>
      </c>
      <c r="G18" s="35">
        <f t="shared" si="1"/>
        <v>-2</v>
      </c>
      <c r="H18" s="2"/>
      <c r="I18" s="24" t="s">
        <v>63</v>
      </c>
      <c r="J18" s="45" t="s">
        <v>25</v>
      </c>
      <c r="K18" s="48"/>
      <c r="L18" s="47">
        <v>1</v>
      </c>
      <c r="M18" s="55"/>
      <c r="N18" s="46">
        <f>AVERAGE(K18:M18)</f>
        <v>1</v>
      </c>
      <c r="O18" s="34">
        <f>M18-N18</f>
        <v>-1</v>
      </c>
      <c r="Q18" s="63">
        <f t="shared" si="2"/>
        <v>5</v>
      </c>
      <c r="R18" s="64">
        <f t="shared" si="3"/>
        <v>-3</v>
      </c>
      <c r="S18" s="86"/>
    </row>
    <row r="19" spans="1:29" ht="15" customHeight="1" x14ac:dyDescent="0.15">
      <c r="A19" s="24" t="s">
        <v>76</v>
      </c>
      <c r="B19" s="15" t="s">
        <v>23</v>
      </c>
      <c r="C19" s="16">
        <v>10</v>
      </c>
      <c r="D19" s="16">
        <v>3</v>
      </c>
      <c r="E19" s="17">
        <v>0</v>
      </c>
      <c r="F19" s="28">
        <f t="shared" si="0"/>
        <v>4.333333333333333</v>
      </c>
      <c r="G19" s="35">
        <f t="shared" si="1"/>
        <v>-4.333333333333333</v>
      </c>
      <c r="H19" s="2"/>
      <c r="I19" s="24"/>
      <c r="K19" s="33"/>
      <c r="N19" s="46"/>
      <c r="O19" s="34"/>
      <c r="Q19" s="63">
        <f t="shared" si="2"/>
        <v>4.333333333333333</v>
      </c>
      <c r="R19" s="64">
        <f t="shared" si="3"/>
        <v>-4.333333333333333</v>
      </c>
      <c r="S19" s="87" t="s">
        <v>102</v>
      </c>
    </row>
    <row r="20" spans="1:29" ht="15" customHeight="1" x14ac:dyDescent="0.15">
      <c r="A20" s="24" t="s">
        <v>70</v>
      </c>
      <c r="B20" s="15" t="s">
        <v>44</v>
      </c>
      <c r="C20" s="16">
        <v>6</v>
      </c>
      <c r="D20" s="16">
        <v>5</v>
      </c>
      <c r="E20" s="17">
        <v>3</v>
      </c>
      <c r="F20" s="28">
        <f t="shared" si="0"/>
        <v>4.666666666666667</v>
      </c>
      <c r="G20" s="35">
        <f t="shared" si="1"/>
        <v>-1.666666666666667</v>
      </c>
      <c r="H20" s="2"/>
      <c r="I20" s="24"/>
      <c r="K20" s="33"/>
      <c r="N20" s="46"/>
      <c r="O20" s="34"/>
      <c r="Q20" s="63">
        <f t="shared" si="2"/>
        <v>4.666666666666667</v>
      </c>
      <c r="R20" s="64">
        <f t="shared" si="3"/>
        <v>-1.666666666666667</v>
      </c>
      <c r="S20" s="30" t="s">
        <v>103</v>
      </c>
    </row>
    <row r="21" spans="1:29" ht="15" customHeight="1" x14ac:dyDescent="0.15">
      <c r="A21" s="24" t="s">
        <v>67</v>
      </c>
      <c r="B21" s="15" t="s">
        <v>37</v>
      </c>
      <c r="C21" s="16"/>
      <c r="D21" s="16">
        <v>4</v>
      </c>
      <c r="E21" s="17">
        <v>6</v>
      </c>
      <c r="F21" s="28">
        <f t="shared" si="0"/>
        <v>5</v>
      </c>
      <c r="G21" s="35">
        <f t="shared" si="1"/>
        <v>1</v>
      </c>
      <c r="H21" s="2"/>
      <c r="I21" s="24"/>
      <c r="K21" s="33"/>
      <c r="N21" s="46"/>
      <c r="O21" s="34"/>
      <c r="Q21" s="63">
        <f t="shared" si="2"/>
        <v>5</v>
      </c>
      <c r="R21" s="64">
        <f t="shared" si="3"/>
        <v>1</v>
      </c>
      <c r="S21" s="30" t="s">
        <v>101</v>
      </c>
    </row>
    <row r="22" spans="1:29" s="82" customFormat="1" ht="15" customHeight="1" x14ac:dyDescent="0.15">
      <c r="A22" s="69" t="s">
        <v>60</v>
      </c>
      <c r="B22" s="70" t="s">
        <v>15</v>
      </c>
      <c r="C22" s="71">
        <v>5</v>
      </c>
      <c r="D22" s="71">
        <v>6</v>
      </c>
      <c r="E22" s="72">
        <v>4</v>
      </c>
      <c r="F22" s="73">
        <f t="shared" si="0"/>
        <v>5</v>
      </c>
      <c r="G22" s="74">
        <f t="shared" si="1"/>
        <v>-1</v>
      </c>
      <c r="H22" s="75"/>
      <c r="I22" s="69" t="s">
        <v>60</v>
      </c>
      <c r="J22" s="76" t="s">
        <v>15</v>
      </c>
      <c r="K22" s="77">
        <v>2</v>
      </c>
      <c r="L22" s="78"/>
      <c r="M22" s="79">
        <v>1</v>
      </c>
      <c r="N22" s="80">
        <f>AVERAGE(K22:M22)</f>
        <v>1.5</v>
      </c>
      <c r="O22" s="81">
        <f>M22-N22</f>
        <v>-0.5</v>
      </c>
      <c r="Q22" s="83">
        <f t="shared" si="2"/>
        <v>6.5</v>
      </c>
      <c r="R22" s="84">
        <f t="shared" si="3"/>
        <v>-1.5</v>
      </c>
      <c r="T22" s="85"/>
      <c r="V22" s="85"/>
      <c r="W22" s="85"/>
      <c r="X22" s="85"/>
      <c r="Y22" s="85"/>
      <c r="Z22" s="85"/>
      <c r="AA22" s="85"/>
      <c r="AB22" s="85"/>
      <c r="AC22" s="85"/>
    </row>
    <row r="23" spans="1:29" ht="15" customHeight="1" x14ac:dyDescent="0.15">
      <c r="A23" s="24" t="s">
        <v>59</v>
      </c>
      <c r="B23" s="15" t="s">
        <v>6</v>
      </c>
      <c r="C23" s="16">
        <v>9</v>
      </c>
      <c r="D23" s="16">
        <v>6</v>
      </c>
      <c r="E23" s="17">
        <v>1</v>
      </c>
      <c r="F23" s="28">
        <f t="shared" si="0"/>
        <v>5.333333333333333</v>
      </c>
      <c r="G23" s="35">
        <f t="shared" si="1"/>
        <v>-4.333333333333333</v>
      </c>
      <c r="H23" s="2"/>
      <c r="I23" s="24" t="s">
        <v>59</v>
      </c>
      <c r="J23" s="45" t="s">
        <v>6</v>
      </c>
      <c r="K23" s="47">
        <v>1</v>
      </c>
      <c r="L23" s="48"/>
      <c r="M23" s="55"/>
      <c r="N23" s="46">
        <f>AVERAGE(K23:M23)</f>
        <v>1</v>
      </c>
      <c r="O23" s="34">
        <f>M23-N23</f>
        <v>-1</v>
      </c>
      <c r="Q23" s="63">
        <f t="shared" si="2"/>
        <v>6.333333333333333</v>
      </c>
      <c r="R23" s="64">
        <f t="shared" si="3"/>
        <v>-5.333333333333333</v>
      </c>
    </row>
    <row r="24" spans="1:29" ht="15" customHeight="1" x14ac:dyDescent="0.15">
      <c r="A24" s="24" t="s">
        <v>76</v>
      </c>
      <c r="B24" s="15" t="s">
        <v>20</v>
      </c>
      <c r="C24" s="16">
        <v>8</v>
      </c>
      <c r="D24" s="16">
        <v>4</v>
      </c>
      <c r="E24" s="17">
        <v>5</v>
      </c>
      <c r="F24" s="28">
        <f t="shared" si="0"/>
        <v>5.666666666666667</v>
      </c>
      <c r="G24" s="35">
        <f t="shared" si="1"/>
        <v>-0.66666666666666696</v>
      </c>
      <c r="H24" s="2"/>
      <c r="I24" s="24" t="s">
        <v>76</v>
      </c>
      <c r="J24" s="45" t="s">
        <v>20</v>
      </c>
      <c r="K24" s="48"/>
      <c r="L24" s="48"/>
      <c r="M24" s="55"/>
      <c r="N24" s="46"/>
      <c r="O24" s="34"/>
      <c r="Q24" s="63">
        <f t="shared" si="2"/>
        <v>5.666666666666667</v>
      </c>
      <c r="R24" s="64">
        <f t="shared" si="3"/>
        <v>-0.66666666666666696</v>
      </c>
    </row>
    <row r="25" spans="1:29" ht="15" customHeight="1" x14ac:dyDescent="0.15">
      <c r="A25" s="24" t="s">
        <v>70</v>
      </c>
      <c r="B25" s="15" t="s">
        <v>45</v>
      </c>
      <c r="C25" s="16">
        <v>11</v>
      </c>
      <c r="D25" s="16">
        <v>4</v>
      </c>
      <c r="E25" s="17">
        <v>7</v>
      </c>
      <c r="F25" s="28">
        <f t="shared" si="0"/>
        <v>7.333333333333333</v>
      </c>
      <c r="G25" s="35">
        <f t="shared" si="1"/>
        <v>-0.33333333333333304</v>
      </c>
      <c r="H25" s="2"/>
      <c r="I25" s="24" t="s">
        <v>70</v>
      </c>
      <c r="J25" s="45" t="s">
        <v>45</v>
      </c>
      <c r="K25" s="47">
        <v>1</v>
      </c>
      <c r="L25" s="47">
        <v>1</v>
      </c>
      <c r="M25" s="55"/>
      <c r="N25" s="46">
        <f>AVERAGE(K25:M25)</f>
        <v>1</v>
      </c>
      <c r="O25" s="34">
        <f>M25-N25</f>
        <v>-1</v>
      </c>
      <c r="Q25" s="63">
        <f t="shared" si="2"/>
        <v>8.3333333333333321</v>
      </c>
      <c r="R25" s="64">
        <f t="shared" si="3"/>
        <v>-1.333333333333333</v>
      </c>
    </row>
    <row r="26" spans="1:29" ht="15" customHeight="1" x14ac:dyDescent="0.15">
      <c r="A26" s="24" t="s">
        <v>64</v>
      </c>
      <c r="B26" s="15" t="s">
        <v>27</v>
      </c>
      <c r="C26" s="16">
        <v>7</v>
      </c>
      <c r="D26" s="16">
        <v>9</v>
      </c>
      <c r="E26" s="17">
        <v>6</v>
      </c>
      <c r="F26" s="28">
        <f t="shared" si="0"/>
        <v>7.333333333333333</v>
      </c>
      <c r="G26" s="35">
        <f t="shared" si="1"/>
        <v>-1.333333333333333</v>
      </c>
      <c r="H26" s="2"/>
      <c r="I26" s="24" t="s">
        <v>64</v>
      </c>
      <c r="J26" s="45" t="s">
        <v>27</v>
      </c>
      <c r="K26" s="47">
        <v>9</v>
      </c>
      <c r="L26" s="47">
        <v>9</v>
      </c>
      <c r="M26" s="54">
        <v>13</v>
      </c>
      <c r="N26" s="46">
        <f>AVERAGE(K26:M26)</f>
        <v>10.333333333333334</v>
      </c>
      <c r="O26" s="34">
        <f>M26-N26</f>
        <v>2.6666666666666661</v>
      </c>
      <c r="Q26" s="63">
        <f t="shared" si="2"/>
        <v>17.666666666666668</v>
      </c>
      <c r="R26" s="64">
        <f t="shared" si="3"/>
        <v>1.333333333333333</v>
      </c>
    </row>
    <row r="27" spans="1:29" ht="15" customHeight="1" x14ac:dyDescent="0.15">
      <c r="A27" s="24" t="s">
        <v>76</v>
      </c>
      <c r="B27" s="15" t="s">
        <v>33</v>
      </c>
      <c r="C27" s="16">
        <v>12</v>
      </c>
      <c r="D27" s="16">
        <v>6</v>
      </c>
      <c r="E27" s="17">
        <v>6</v>
      </c>
      <c r="F27" s="28">
        <f t="shared" si="0"/>
        <v>8</v>
      </c>
      <c r="G27" s="35">
        <f t="shared" si="1"/>
        <v>-2</v>
      </c>
      <c r="H27" s="2"/>
      <c r="I27" s="24"/>
      <c r="K27" s="33"/>
      <c r="N27" s="46"/>
      <c r="O27" s="34"/>
      <c r="Q27" s="63">
        <f t="shared" si="2"/>
        <v>8</v>
      </c>
      <c r="R27" s="64">
        <f t="shared" si="3"/>
        <v>-2</v>
      </c>
    </row>
    <row r="28" spans="1:29" ht="15" customHeight="1" x14ac:dyDescent="0.15">
      <c r="A28" s="24" t="s">
        <v>64</v>
      </c>
      <c r="B28" s="15" t="s">
        <v>29</v>
      </c>
      <c r="C28" s="16"/>
      <c r="D28" s="16">
        <v>8</v>
      </c>
      <c r="E28" s="17">
        <v>11</v>
      </c>
      <c r="F28" s="28">
        <f t="shared" si="0"/>
        <v>9.5</v>
      </c>
      <c r="G28" s="35">
        <f t="shared" si="1"/>
        <v>1.5</v>
      </c>
      <c r="H28" s="18"/>
      <c r="I28" s="24" t="s">
        <v>64</v>
      </c>
      <c r="J28" s="45" t="s">
        <v>29</v>
      </c>
      <c r="K28" s="48"/>
      <c r="L28" s="47">
        <v>1</v>
      </c>
      <c r="M28" s="55"/>
      <c r="N28" s="46">
        <f>AVERAGE(K28:M28)</f>
        <v>1</v>
      </c>
      <c r="O28" s="34">
        <f>M28-N28</f>
        <v>-1</v>
      </c>
      <c r="Q28" s="63">
        <f t="shared" si="2"/>
        <v>10.5</v>
      </c>
      <c r="R28" s="64">
        <f t="shared" si="3"/>
        <v>0.5</v>
      </c>
    </row>
    <row r="29" spans="1:29" ht="15" customHeight="1" x14ac:dyDescent="0.15">
      <c r="A29" s="24" t="s">
        <v>59</v>
      </c>
      <c r="B29" s="15" t="s">
        <v>8</v>
      </c>
      <c r="C29" s="16">
        <v>6</v>
      </c>
      <c r="D29" s="16">
        <v>9</v>
      </c>
      <c r="E29" s="17">
        <v>14</v>
      </c>
      <c r="F29" s="28">
        <f t="shared" si="0"/>
        <v>9.6666666666666661</v>
      </c>
      <c r="G29" s="35">
        <f t="shared" si="1"/>
        <v>4.3333333333333339</v>
      </c>
      <c r="H29" s="2"/>
      <c r="I29" s="24" t="s">
        <v>59</v>
      </c>
      <c r="J29" s="45" t="s">
        <v>8</v>
      </c>
      <c r="K29" s="47">
        <v>1</v>
      </c>
      <c r="L29" s="47">
        <v>2</v>
      </c>
      <c r="M29" s="54">
        <v>1</v>
      </c>
      <c r="N29" s="46">
        <f>AVERAGE(K29:M29)</f>
        <v>1.3333333333333333</v>
      </c>
      <c r="O29" s="34">
        <f>M29-N29</f>
        <v>-0.33333333333333326</v>
      </c>
      <c r="Q29" s="63">
        <f t="shared" si="2"/>
        <v>11</v>
      </c>
      <c r="R29" s="64">
        <f t="shared" si="3"/>
        <v>4.0000000000000009</v>
      </c>
    </row>
    <row r="30" spans="1:29" ht="15" customHeight="1" x14ac:dyDescent="0.15">
      <c r="A30" s="24" t="s">
        <v>65</v>
      </c>
      <c r="B30" s="15" t="s">
        <v>31</v>
      </c>
      <c r="C30" s="16">
        <v>12</v>
      </c>
      <c r="D30" s="16">
        <v>8</v>
      </c>
      <c r="E30" s="17">
        <v>10</v>
      </c>
      <c r="F30" s="28">
        <f t="shared" si="0"/>
        <v>10</v>
      </c>
      <c r="G30" s="35">
        <f t="shared" si="1"/>
        <v>0</v>
      </c>
      <c r="H30" s="2"/>
      <c r="I30" s="24" t="s">
        <v>65</v>
      </c>
      <c r="J30" s="45" t="s">
        <v>31</v>
      </c>
      <c r="K30" s="47">
        <v>8</v>
      </c>
      <c r="L30" s="47">
        <v>3</v>
      </c>
      <c r="M30" s="54">
        <v>3</v>
      </c>
      <c r="N30" s="46">
        <f>AVERAGE(K30:M30)</f>
        <v>4.666666666666667</v>
      </c>
      <c r="O30" s="34">
        <f>M30-N30</f>
        <v>-1.666666666666667</v>
      </c>
      <c r="Q30" s="63">
        <f t="shared" si="2"/>
        <v>14.666666666666668</v>
      </c>
      <c r="R30" s="64">
        <f t="shared" si="3"/>
        <v>-1.666666666666667</v>
      </c>
    </row>
    <row r="31" spans="1:29" ht="15" customHeight="1" x14ac:dyDescent="0.15">
      <c r="A31" s="24" t="s">
        <v>70</v>
      </c>
      <c r="B31" s="15" t="s">
        <v>46</v>
      </c>
      <c r="C31" s="16">
        <v>8</v>
      </c>
      <c r="D31" s="16">
        <v>17</v>
      </c>
      <c r="E31" s="17">
        <v>8</v>
      </c>
      <c r="F31" s="28">
        <f t="shared" si="0"/>
        <v>11</v>
      </c>
      <c r="G31" s="35">
        <f t="shared" si="1"/>
        <v>-3</v>
      </c>
      <c r="H31" s="2"/>
      <c r="I31" s="24" t="s">
        <v>70</v>
      </c>
      <c r="J31" s="45" t="s">
        <v>46</v>
      </c>
      <c r="K31" s="48"/>
      <c r="L31" s="47">
        <v>1</v>
      </c>
      <c r="M31" s="54">
        <v>3</v>
      </c>
      <c r="N31" s="46">
        <f>AVERAGE(K31:M31)</f>
        <v>2</v>
      </c>
      <c r="O31" s="34">
        <f>M31-N31</f>
        <v>1</v>
      </c>
      <c r="Q31" s="63">
        <f t="shared" si="2"/>
        <v>13</v>
      </c>
      <c r="R31" s="64">
        <f t="shared" si="3"/>
        <v>-2</v>
      </c>
    </row>
    <row r="32" spans="1:29" ht="15" customHeight="1" x14ac:dyDescent="0.15">
      <c r="A32" s="24" t="s">
        <v>59</v>
      </c>
      <c r="B32" s="15" t="s">
        <v>10</v>
      </c>
      <c r="C32" s="16">
        <v>15</v>
      </c>
      <c r="D32" s="16">
        <v>10</v>
      </c>
      <c r="E32" s="17">
        <v>14</v>
      </c>
      <c r="F32" s="28">
        <f t="shared" si="0"/>
        <v>13</v>
      </c>
      <c r="G32" s="35">
        <f t="shared" si="1"/>
        <v>1</v>
      </c>
      <c r="H32" s="2"/>
      <c r="I32" s="24"/>
      <c r="K32" s="33"/>
      <c r="N32" s="46"/>
      <c r="O32" s="34"/>
      <c r="Q32" s="63">
        <f t="shared" si="2"/>
        <v>13</v>
      </c>
      <c r="R32" s="64">
        <f t="shared" si="3"/>
        <v>1</v>
      </c>
    </row>
    <row r="33" spans="1:18" ht="15" customHeight="1" x14ac:dyDescent="0.15">
      <c r="A33" s="24" t="s">
        <v>76</v>
      </c>
      <c r="B33" s="15" t="s">
        <v>17</v>
      </c>
      <c r="C33" s="16">
        <v>11</v>
      </c>
      <c r="D33" s="16">
        <v>9</v>
      </c>
      <c r="E33" s="17">
        <v>20</v>
      </c>
      <c r="F33" s="28">
        <f t="shared" si="0"/>
        <v>13.333333333333334</v>
      </c>
      <c r="G33" s="35">
        <f t="shared" si="1"/>
        <v>6.6666666666666661</v>
      </c>
      <c r="H33" s="2"/>
      <c r="I33" s="24" t="s">
        <v>76</v>
      </c>
      <c r="J33" s="45" t="s">
        <v>17</v>
      </c>
      <c r="K33" s="47">
        <v>1</v>
      </c>
      <c r="L33" s="47">
        <v>2</v>
      </c>
      <c r="M33" s="55"/>
      <c r="N33" s="46">
        <f>AVERAGE(K33:M33)</f>
        <v>1.5</v>
      </c>
      <c r="O33" s="34">
        <f>M33-N33</f>
        <v>-1.5</v>
      </c>
      <c r="Q33" s="63">
        <f t="shared" si="2"/>
        <v>14.833333333333334</v>
      </c>
      <c r="R33" s="64">
        <f t="shared" si="3"/>
        <v>5.1666666666666661</v>
      </c>
    </row>
    <row r="34" spans="1:18" ht="15" customHeight="1" x14ac:dyDescent="0.15">
      <c r="A34" s="24" t="s">
        <v>68</v>
      </c>
      <c r="B34" s="15" t="s">
        <v>41</v>
      </c>
      <c r="C34" s="16">
        <v>20</v>
      </c>
      <c r="D34" s="16">
        <v>15</v>
      </c>
      <c r="E34" s="17">
        <v>6</v>
      </c>
      <c r="F34" s="28">
        <f t="shared" si="0"/>
        <v>13.666666666666666</v>
      </c>
      <c r="G34" s="35">
        <f t="shared" si="1"/>
        <v>-7.6666666666666661</v>
      </c>
      <c r="H34" s="2"/>
      <c r="I34" s="24" t="s">
        <v>68</v>
      </c>
      <c r="J34" s="45" t="s">
        <v>41</v>
      </c>
      <c r="K34" s="47">
        <v>6</v>
      </c>
      <c r="L34" s="47">
        <v>7</v>
      </c>
      <c r="M34" s="54">
        <v>9</v>
      </c>
      <c r="N34" s="46">
        <f>AVERAGE(K34:M34)</f>
        <v>7.333333333333333</v>
      </c>
      <c r="O34" s="34">
        <f>M34-N34</f>
        <v>1.666666666666667</v>
      </c>
      <c r="Q34" s="63">
        <f t="shared" si="2"/>
        <v>21</v>
      </c>
      <c r="R34" s="64">
        <f t="shared" si="3"/>
        <v>-5.9999999999999991</v>
      </c>
    </row>
    <row r="35" spans="1:18" ht="15" customHeight="1" x14ac:dyDescent="0.15">
      <c r="A35" s="24" t="s">
        <v>63</v>
      </c>
      <c r="B35" s="15" t="s">
        <v>26</v>
      </c>
      <c r="C35" s="16">
        <v>20</v>
      </c>
      <c r="D35" s="16">
        <v>8</v>
      </c>
      <c r="E35" s="17">
        <v>15</v>
      </c>
      <c r="F35" s="28">
        <f t="shared" si="0"/>
        <v>14.333333333333334</v>
      </c>
      <c r="G35" s="35">
        <f t="shared" si="1"/>
        <v>0.66666666666666607</v>
      </c>
      <c r="H35" s="2"/>
      <c r="I35" s="24" t="s">
        <v>63</v>
      </c>
      <c r="J35" s="45" t="s">
        <v>26</v>
      </c>
      <c r="K35" s="47">
        <v>1</v>
      </c>
      <c r="L35" s="47">
        <v>1</v>
      </c>
      <c r="M35" s="55"/>
      <c r="N35" s="46">
        <f>AVERAGE(K35:M35)</f>
        <v>1</v>
      </c>
      <c r="O35" s="34">
        <f>M35-N35</f>
        <v>-1</v>
      </c>
      <c r="Q35" s="63">
        <f t="shared" si="2"/>
        <v>15.333333333333334</v>
      </c>
      <c r="R35" s="64">
        <f t="shared" si="3"/>
        <v>-0.33333333333333393</v>
      </c>
    </row>
    <row r="36" spans="1:18" ht="15" customHeight="1" x14ac:dyDescent="0.15">
      <c r="A36" s="24" t="s">
        <v>76</v>
      </c>
      <c r="B36" s="15" t="s">
        <v>32</v>
      </c>
      <c r="C36" s="16">
        <v>15</v>
      </c>
      <c r="D36" s="16">
        <v>15</v>
      </c>
      <c r="E36" s="17">
        <v>15</v>
      </c>
      <c r="F36" s="28">
        <f t="shared" si="0"/>
        <v>15</v>
      </c>
      <c r="G36" s="35">
        <f t="shared" si="1"/>
        <v>0</v>
      </c>
      <c r="H36" s="2"/>
      <c r="I36" s="24" t="s">
        <v>76</v>
      </c>
      <c r="J36" s="45" t="s">
        <v>32</v>
      </c>
      <c r="K36" s="48"/>
      <c r="L36" s="48"/>
      <c r="M36" s="55"/>
      <c r="N36" s="46"/>
      <c r="O36" s="34"/>
      <c r="Q36" s="63">
        <f t="shared" si="2"/>
        <v>15</v>
      </c>
      <c r="R36" s="64">
        <f t="shared" si="3"/>
        <v>0</v>
      </c>
    </row>
    <row r="37" spans="1:18" ht="15" customHeight="1" x14ac:dyDescent="0.15">
      <c r="A37" s="24" t="s">
        <v>64</v>
      </c>
      <c r="B37" s="15" t="s">
        <v>28</v>
      </c>
      <c r="C37" s="16">
        <v>13</v>
      </c>
      <c r="D37" s="16">
        <v>14</v>
      </c>
      <c r="E37" s="17">
        <v>18</v>
      </c>
      <c r="F37" s="28">
        <f t="shared" si="0"/>
        <v>15</v>
      </c>
      <c r="G37" s="35">
        <f t="shared" si="1"/>
        <v>3</v>
      </c>
      <c r="H37" s="2"/>
      <c r="I37" s="24" t="s">
        <v>64</v>
      </c>
      <c r="J37" s="45" t="s">
        <v>28</v>
      </c>
      <c r="K37" s="47">
        <v>1</v>
      </c>
      <c r="L37" s="48"/>
      <c r="M37" s="55"/>
      <c r="N37" s="46">
        <f>AVERAGE(K37:M37)</f>
        <v>1</v>
      </c>
      <c r="O37" s="34">
        <f>M37-N37</f>
        <v>-1</v>
      </c>
      <c r="Q37" s="63">
        <f t="shared" si="2"/>
        <v>16</v>
      </c>
      <c r="R37" s="64">
        <f t="shared" si="3"/>
        <v>2</v>
      </c>
    </row>
    <row r="38" spans="1:18" ht="15" customHeight="1" x14ac:dyDescent="0.15">
      <c r="A38" s="24" t="s">
        <v>76</v>
      </c>
      <c r="B38" s="15" t="s">
        <v>21</v>
      </c>
      <c r="C38" s="16">
        <v>4</v>
      </c>
      <c r="D38" s="16">
        <v>16</v>
      </c>
      <c r="E38" s="17">
        <v>26</v>
      </c>
      <c r="F38" s="28">
        <f t="shared" si="0"/>
        <v>15.333333333333334</v>
      </c>
      <c r="G38" s="35">
        <f t="shared" si="1"/>
        <v>10.666666666666666</v>
      </c>
      <c r="H38" s="2"/>
      <c r="I38" s="24"/>
      <c r="K38" s="33"/>
      <c r="N38" s="46"/>
      <c r="O38" s="34"/>
      <c r="Q38" s="63">
        <f t="shared" si="2"/>
        <v>15.333333333333334</v>
      </c>
      <c r="R38" s="64">
        <f t="shared" si="3"/>
        <v>10.666666666666666</v>
      </c>
    </row>
    <row r="39" spans="1:18" ht="15" customHeight="1" x14ac:dyDescent="0.15">
      <c r="A39" s="24" t="s">
        <v>68</v>
      </c>
      <c r="B39" s="15" t="s">
        <v>35</v>
      </c>
      <c r="C39" s="16">
        <v>17</v>
      </c>
      <c r="D39" s="16">
        <v>18</v>
      </c>
      <c r="E39" s="17">
        <v>17</v>
      </c>
      <c r="F39" s="28">
        <f t="shared" si="0"/>
        <v>17.333333333333332</v>
      </c>
      <c r="G39" s="35">
        <f t="shared" si="1"/>
        <v>-0.33333333333333215</v>
      </c>
      <c r="H39" s="2"/>
      <c r="I39" s="24" t="s">
        <v>68</v>
      </c>
      <c r="J39" s="45" t="s">
        <v>35</v>
      </c>
      <c r="K39" s="48"/>
      <c r="L39" s="47">
        <v>1</v>
      </c>
      <c r="M39" s="55"/>
      <c r="N39" s="46">
        <f>AVERAGE(K39:M39)</f>
        <v>1</v>
      </c>
      <c r="O39" s="34">
        <f>M39-N39</f>
        <v>-1</v>
      </c>
      <c r="Q39" s="63">
        <f t="shared" si="2"/>
        <v>18.333333333333332</v>
      </c>
      <c r="R39" s="64">
        <f t="shared" si="3"/>
        <v>-1.3333333333333321</v>
      </c>
    </row>
    <row r="40" spans="1:18" ht="15" customHeight="1" x14ac:dyDescent="0.15">
      <c r="A40" s="24" t="s">
        <v>76</v>
      </c>
      <c r="B40" s="15" t="s">
        <v>22</v>
      </c>
      <c r="C40" s="16">
        <v>13</v>
      </c>
      <c r="D40" s="16">
        <v>22</v>
      </c>
      <c r="E40" s="17">
        <v>18</v>
      </c>
      <c r="F40" s="28">
        <f t="shared" ref="F40:F57" si="6">AVERAGE(C40:E40)</f>
        <v>17.666666666666668</v>
      </c>
      <c r="G40" s="35">
        <f t="shared" ref="G40:G57" si="7">E40-F40</f>
        <v>0.33333333333333215</v>
      </c>
      <c r="H40" s="2"/>
      <c r="I40" s="24"/>
      <c r="K40" s="33"/>
      <c r="N40" s="46"/>
      <c r="O40" s="34"/>
      <c r="Q40" s="63">
        <f t="shared" ref="Q40:Q58" si="8">F40+N40</f>
        <v>17.666666666666668</v>
      </c>
      <c r="R40" s="64">
        <f t="shared" ref="R40:R58" si="9">G40+O40</f>
        <v>0.33333333333333215</v>
      </c>
    </row>
    <row r="41" spans="1:18" ht="15" customHeight="1" x14ac:dyDescent="0.15">
      <c r="A41" s="24" t="s">
        <v>59</v>
      </c>
      <c r="B41" s="15" t="s">
        <v>11</v>
      </c>
      <c r="C41" s="16">
        <v>23</v>
      </c>
      <c r="D41" s="16">
        <v>18</v>
      </c>
      <c r="E41" s="17">
        <v>13</v>
      </c>
      <c r="F41" s="28">
        <f t="shared" si="6"/>
        <v>18</v>
      </c>
      <c r="G41" s="35">
        <f t="shared" si="7"/>
        <v>-5</v>
      </c>
      <c r="H41" s="2"/>
      <c r="I41" s="24"/>
      <c r="K41" s="33"/>
      <c r="N41" s="46"/>
      <c r="O41" s="34"/>
      <c r="Q41" s="63">
        <f t="shared" si="8"/>
        <v>18</v>
      </c>
      <c r="R41" s="64">
        <f t="shared" si="9"/>
        <v>-5</v>
      </c>
    </row>
    <row r="42" spans="1:18" ht="15" customHeight="1" x14ac:dyDescent="0.15">
      <c r="A42" s="24" t="s">
        <v>70</v>
      </c>
      <c r="B42" s="15" t="s">
        <v>47</v>
      </c>
      <c r="C42" s="16">
        <v>21</v>
      </c>
      <c r="D42" s="16">
        <v>20</v>
      </c>
      <c r="E42" s="17">
        <v>22</v>
      </c>
      <c r="F42" s="28">
        <f t="shared" si="6"/>
        <v>21</v>
      </c>
      <c r="G42" s="35">
        <f t="shared" si="7"/>
        <v>1</v>
      </c>
      <c r="H42" s="2"/>
      <c r="I42" s="24" t="s">
        <v>70</v>
      </c>
      <c r="J42" s="45" t="s">
        <v>47</v>
      </c>
      <c r="K42" s="47">
        <v>1</v>
      </c>
      <c r="L42" s="47">
        <v>2</v>
      </c>
      <c r="M42" s="54">
        <v>1</v>
      </c>
      <c r="N42" s="46">
        <f>AVERAGE(K42:M42)</f>
        <v>1.3333333333333333</v>
      </c>
      <c r="O42" s="34">
        <f>M42-N42</f>
        <v>-0.33333333333333326</v>
      </c>
      <c r="Q42" s="63">
        <f t="shared" si="8"/>
        <v>22.333333333333332</v>
      </c>
      <c r="R42" s="64">
        <f t="shared" si="9"/>
        <v>0.66666666666666674</v>
      </c>
    </row>
    <row r="43" spans="1:18" ht="15" customHeight="1" x14ac:dyDescent="0.15">
      <c r="A43" s="24" t="s">
        <v>71</v>
      </c>
      <c r="B43" s="15" t="s">
        <v>48</v>
      </c>
      <c r="C43" s="16">
        <v>22</v>
      </c>
      <c r="D43" s="16">
        <v>26</v>
      </c>
      <c r="E43" s="17">
        <v>23</v>
      </c>
      <c r="F43" s="28">
        <f t="shared" si="6"/>
        <v>23.666666666666668</v>
      </c>
      <c r="G43" s="35">
        <f t="shared" si="7"/>
        <v>-0.66666666666666785</v>
      </c>
      <c r="H43" s="2"/>
      <c r="I43" s="24" t="s">
        <v>71</v>
      </c>
      <c r="J43" s="45" t="s">
        <v>48</v>
      </c>
      <c r="K43" s="47">
        <v>2</v>
      </c>
      <c r="L43" s="47">
        <v>1</v>
      </c>
      <c r="M43" s="54">
        <v>2</v>
      </c>
      <c r="N43" s="46">
        <f>AVERAGE(K43:M43)</f>
        <v>1.6666666666666667</v>
      </c>
      <c r="O43" s="34">
        <f>M43-N43</f>
        <v>0.33333333333333326</v>
      </c>
      <c r="Q43" s="63">
        <f t="shared" si="8"/>
        <v>25.333333333333336</v>
      </c>
      <c r="R43" s="64">
        <f t="shared" si="9"/>
        <v>-0.33333333333333459</v>
      </c>
    </row>
    <row r="44" spans="1:18" ht="15" customHeight="1" x14ac:dyDescent="0.15">
      <c r="A44" s="24" t="s">
        <v>62</v>
      </c>
      <c r="B44" s="15" t="s">
        <v>24</v>
      </c>
      <c r="C44" s="16">
        <v>29</v>
      </c>
      <c r="D44" s="16">
        <v>21</v>
      </c>
      <c r="E44" s="17">
        <v>24</v>
      </c>
      <c r="F44" s="28">
        <f t="shared" si="6"/>
        <v>24.666666666666668</v>
      </c>
      <c r="G44" s="35">
        <f t="shared" si="7"/>
        <v>-0.66666666666666785</v>
      </c>
      <c r="H44" s="2"/>
      <c r="I44" s="24" t="s">
        <v>62</v>
      </c>
      <c r="J44" s="45" t="s">
        <v>24</v>
      </c>
      <c r="K44" s="48"/>
      <c r="L44" s="47">
        <v>1</v>
      </c>
      <c r="M44" s="54">
        <v>2</v>
      </c>
      <c r="N44" s="46">
        <f>AVERAGE(K44:M44)</f>
        <v>1.5</v>
      </c>
      <c r="O44" s="34">
        <f>M44-N44</f>
        <v>0.5</v>
      </c>
      <c r="Q44" s="63">
        <f t="shared" si="8"/>
        <v>26.166666666666668</v>
      </c>
      <c r="R44" s="64">
        <f t="shared" si="9"/>
        <v>-0.16666666666666785</v>
      </c>
    </row>
    <row r="45" spans="1:18" ht="15" customHeight="1" x14ac:dyDescent="0.15">
      <c r="A45" s="24" t="s">
        <v>68</v>
      </c>
      <c r="B45" s="15" t="s">
        <v>40</v>
      </c>
      <c r="C45" s="16">
        <v>20</v>
      </c>
      <c r="D45" s="16">
        <v>29</v>
      </c>
      <c r="E45" s="17">
        <v>30</v>
      </c>
      <c r="F45" s="28">
        <f t="shared" si="6"/>
        <v>26.333333333333332</v>
      </c>
      <c r="G45" s="35">
        <f t="shared" si="7"/>
        <v>3.6666666666666679</v>
      </c>
      <c r="H45" s="2"/>
      <c r="I45" s="24" t="s">
        <v>68</v>
      </c>
      <c r="J45" s="45" t="s">
        <v>40</v>
      </c>
      <c r="K45" s="47">
        <v>5</v>
      </c>
      <c r="L45" s="47">
        <v>6</v>
      </c>
      <c r="M45" s="54">
        <v>8</v>
      </c>
      <c r="N45" s="46">
        <f>AVERAGE(K45:M45)</f>
        <v>6.333333333333333</v>
      </c>
      <c r="O45" s="34">
        <f>M45-N45</f>
        <v>1.666666666666667</v>
      </c>
      <c r="Q45" s="63">
        <f t="shared" si="8"/>
        <v>32.666666666666664</v>
      </c>
      <c r="R45" s="64">
        <f t="shared" si="9"/>
        <v>5.3333333333333348</v>
      </c>
    </row>
    <row r="46" spans="1:18" ht="15" customHeight="1" x14ac:dyDescent="0.15">
      <c r="A46" s="24" t="s">
        <v>59</v>
      </c>
      <c r="B46" s="15" t="s">
        <v>5</v>
      </c>
      <c r="C46" s="16">
        <v>39</v>
      </c>
      <c r="D46" s="16">
        <v>25</v>
      </c>
      <c r="E46" s="17">
        <v>19</v>
      </c>
      <c r="F46" s="28">
        <f t="shared" si="6"/>
        <v>27.666666666666668</v>
      </c>
      <c r="G46" s="35">
        <f t="shared" si="7"/>
        <v>-8.6666666666666679</v>
      </c>
      <c r="H46" s="2"/>
      <c r="I46" s="24"/>
      <c r="K46" s="33"/>
      <c r="N46" s="46"/>
      <c r="O46" s="34"/>
      <c r="Q46" s="63">
        <f t="shared" si="8"/>
        <v>27.666666666666668</v>
      </c>
      <c r="R46" s="64">
        <f t="shared" si="9"/>
        <v>-8.6666666666666679</v>
      </c>
    </row>
    <row r="47" spans="1:18" ht="15" customHeight="1" x14ac:dyDescent="0.15">
      <c r="A47" s="24" t="s">
        <v>61</v>
      </c>
      <c r="B47" s="15" t="s">
        <v>16</v>
      </c>
      <c r="C47" s="16">
        <v>36</v>
      </c>
      <c r="D47" s="16">
        <v>29</v>
      </c>
      <c r="E47" s="17">
        <v>19</v>
      </c>
      <c r="F47" s="28">
        <f t="shared" si="6"/>
        <v>28</v>
      </c>
      <c r="G47" s="35">
        <f t="shared" si="7"/>
        <v>-9</v>
      </c>
      <c r="H47" s="2"/>
      <c r="I47" s="24" t="s">
        <v>61</v>
      </c>
      <c r="J47" s="45" t="s">
        <v>16</v>
      </c>
      <c r="K47" s="47">
        <v>2</v>
      </c>
      <c r="L47" s="47">
        <v>2</v>
      </c>
      <c r="M47" s="54">
        <v>3</v>
      </c>
      <c r="N47" s="46">
        <f t="shared" ref="N47:N58" si="10">AVERAGE(K47:M47)</f>
        <v>2.3333333333333335</v>
      </c>
      <c r="O47" s="34">
        <f t="shared" ref="O47:O58" si="11">M47-N47</f>
        <v>0.66666666666666652</v>
      </c>
      <c r="Q47" s="63">
        <f t="shared" si="8"/>
        <v>30.333333333333332</v>
      </c>
      <c r="R47" s="64">
        <f t="shared" si="9"/>
        <v>-8.3333333333333339</v>
      </c>
    </row>
    <row r="48" spans="1:18" ht="15" customHeight="1" x14ac:dyDescent="0.15">
      <c r="A48" s="24" t="s">
        <v>66</v>
      </c>
      <c r="B48" s="15" t="s">
        <v>36</v>
      </c>
      <c r="C48" s="16">
        <v>20</v>
      </c>
      <c r="D48" s="16">
        <v>39</v>
      </c>
      <c r="E48" s="17">
        <v>32</v>
      </c>
      <c r="F48" s="28">
        <f t="shared" si="6"/>
        <v>30.333333333333332</v>
      </c>
      <c r="G48" s="35">
        <f t="shared" si="7"/>
        <v>1.6666666666666679</v>
      </c>
      <c r="H48" s="2"/>
      <c r="I48" s="24" t="s">
        <v>66</v>
      </c>
      <c r="J48" s="45" t="s">
        <v>36</v>
      </c>
      <c r="K48" s="47">
        <v>3</v>
      </c>
      <c r="L48" s="47">
        <v>2</v>
      </c>
      <c r="M48" s="54">
        <v>2</v>
      </c>
      <c r="N48" s="46">
        <f t="shared" si="10"/>
        <v>2.3333333333333335</v>
      </c>
      <c r="O48" s="34">
        <f t="shared" si="11"/>
        <v>-0.33333333333333348</v>
      </c>
      <c r="Q48" s="63">
        <f t="shared" si="8"/>
        <v>32.666666666666664</v>
      </c>
      <c r="R48" s="64">
        <f t="shared" si="9"/>
        <v>1.3333333333333344</v>
      </c>
    </row>
    <row r="49" spans="1:18" ht="15" customHeight="1" x14ac:dyDescent="0.15">
      <c r="A49" s="24" t="s">
        <v>73</v>
      </c>
      <c r="B49" s="15" t="s">
        <v>52</v>
      </c>
      <c r="C49" s="16">
        <v>43</v>
      </c>
      <c r="D49" s="16">
        <v>43</v>
      </c>
      <c r="E49" s="17">
        <v>28</v>
      </c>
      <c r="F49" s="28">
        <f t="shared" si="6"/>
        <v>38</v>
      </c>
      <c r="G49" s="35">
        <f t="shared" si="7"/>
        <v>-10</v>
      </c>
      <c r="H49" s="3"/>
      <c r="I49" s="24" t="s">
        <v>73</v>
      </c>
      <c r="J49" s="45" t="s">
        <v>52</v>
      </c>
      <c r="K49" s="47">
        <v>1</v>
      </c>
      <c r="L49" s="47">
        <v>3</v>
      </c>
      <c r="M49" s="54">
        <v>1</v>
      </c>
      <c r="N49" s="46">
        <f t="shared" si="10"/>
        <v>1.6666666666666667</v>
      </c>
      <c r="O49" s="34">
        <f t="shared" si="11"/>
        <v>-0.66666666666666674</v>
      </c>
      <c r="Q49" s="63">
        <f t="shared" si="8"/>
        <v>39.666666666666664</v>
      </c>
      <c r="R49" s="64">
        <f t="shared" si="9"/>
        <v>-10.666666666666666</v>
      </c>
    </row>
    <row r="50" spans="1:18" ht="15" customHeight="1" x14ac:dyDescent="0.15">
      <c r="A50" s="24" t="s">
        <v>72</v>
      </c>
      <c r="B50" s="15" t="s">
        <v>51</v>
      </c>
      <c r="C50" s="16">
        <v>48</v>
      </c>
      <c r="D50" s="16">
        <v>29</v>
      </c>
      <c r="E50" s="17">
        <v>38</v>
      </c>
      <c r="F50" s="28">
        <f t="shared" si="6"/>
        <v>38.333333333333336</v>
      </c>
      <c r="G50" s="35">
        <f t="shared" si="7"/>
        <v>-0.3333333333333357</v>
      </c>
      <c r="H50" s="2"/>
      <c r="I50" s="24" t="s">
        <v>72</v>
      </c>
      <c r="J50" s="45" t="s">
        <v>51</v>
      </c>
      <c r="K50" s="47">
        <v>4</v>
      </c>
      <c r="L50" s="47">
        <v>2</v>
      </c>
      <c r="M50" s="54">
        <v>9</v>
      </c>
      <c r="N50" s="46">
        <f t="shared" si="10"/>
        <v>5</v>
      </c>
      <c r="O50" s="34">
        <f t="shared" si="11"/>
        <v>4</v>
      </c>
      <c r="Q50" s="63">
        <f t="shared" si="8"/>
        <v>43.333333333333336</v>
      </c>
      <c r="R50" s="64">
        <f t="shared" si="9"/>
        <v>3.6666666666666643</v>
      </c>
    </row>
    <row r="51" spans="1:18" ht="15" customHeight="1" x14ac:dyDescent="0.15">
      <c r="A51" s="24" t="s">
        <v>72</v>
      </c>
      <c r="B51" s="15" t="s">
        <v>50</v>
      </c>
      <c r="C51" s="16">
        <v>59</v>
      </c>
      <c r="D51" s="16">
        <v>39</v>
      </c>
      <c r="E51" s="17">
        <v>30</v>
      </c>
      <c r="F51" s="28">
        <f t="shared" si="6"/>
        <v>42.666666666666664</v>
      </c>
      <c r="G51" s="35">
        <f t="shared" si="7"/>
        <v>-12.666666666666664</v>
      </c>
      <c r="H51" s="2"/>
      <c r="I51" s="24" t="s">
        <v>72</v>
      </c>
      <c r="J51" s="45" t="s">
        <v>50</v>
      </c>
      <c r="K51" s="47">
        <v>10</v>
      </c>
      <c r="L51" s="47">
        <v>5</v>
      </c>
      <c r="M51" s="54">
        <v>12</v>
      </c>
      <c r="N51" s="46">
        <f t="shared" si="10"/>
        <v>9</v>
      </c>
      <c r="O51" s="34">
        <f t="shared" si="11"/>
        <v>3</v>
      </c>
      <c r="Q51" s="63">
        <f t="shared" si="8"/>
        <v>51.666666666666664</v>
      </c>
      <c r="R51" s="64">
        <f t="shared" si="9"/>
        <v>-9.6666666666666643</v>
      </c>
    </row>
    <row r="52" spans="1:18" ht="15" customHeight="1" x14ac:dyDescent="0.15">
      <c r="A52" s="24" t="s">
        <v>59</v>
      </c>
      <c r="B52" s="15" t="s">
        <v>7</v>
      </c>
      <c r="C52" s="16">
        <v>40</v>
      </c>
      <c r="D52" s="16">
        <v>40</v>
      </c>
      <c r="E52" s="17">
        <v>55</v>
      </c>
      <c r="F52" s="28">
        <f t="shared" si="6"/>
        <v>45</v>
      </c>
      <c r="G52" s="35">
        <f t="shared" si="7"/>
        <v>10</v>
      </c>
      <c r="H52" s="2"/>
      <c r="I52" s="24" t="s">
        <v>59</v>
      </c>
      <c r="J52" s="45" t="s">
        <v>7</v>
      </c>
      <c r="K52" s="47">
        <v>2</v>
      </c>
      <c r="L52" s="47">
        <v>1</v>
      </c>
      <c r="M52" s="54">
        <v>2</v>
      </c>
      <c r="N52" s="46">
        <f t="shared" si="10"/>
        <v>1.6666666666666667</v>
      </c>
      <c r="O52" s="34">
        <f t="shared" si="11"/>
        <v>0.33333333333333326</v>
      </c>
      <c r="Q52" s="63">
        <f t="shared" si="8"/>
        <v>46.666666666666664</v>
      </c>
      <c r="R52" s="64">
        <f t="shared" si="9"/>
        <v>10.333333333333334</v>
      </c>
    </row>
    <row r="53" spans="1:18" ht="15" customHeight="1" x14ac:dyDescent="0.15">
      <c r="A53" s="24" t="s">
        <v>67</v>
      </c>
      <c r="B53" s="15" t="s">
        <v>38</v>
      </c>
      <c r="C53" s="16">
        <v>54</v>
      </c>
      <c r="D53" s="16">
        <v>49</v>
      </c>
      <c r="E53" s="17">
        <v>44</v>
      </c>
      <c r="F53" s="28">
        <f t="shared" si="6"/>
        <v>49</v>
      </c>
      <c r="G53" s="35">
        <f t="shared" si="7"/>
        <v>-5</v>
      </c>
      <c r="H53" s="2"/>
      <c r="I53" s="24" t="s">
        <v>67</v>
      </c>
      <c r="J53" s="45" t="s">
        <v>38</v>
      </c>
      <c r="K53" s="47">
        <v>7</v>
      </c>
      <c r="L53" s="47">
        <v>10</v>
      </c>
      <c r="M53" s="54">
        <v>5</v>
      </c>
      <c r="N53" s="46">
        <f t="shared" si="10"/>
        <v>7.333333333333333</v>
      </c>
      <c r="O53" s="34">
        <f t="shared" si="11"/>
        <v>-2.333333333333333</v>
      </c>
      <c r="Q53" s="63">
        <f t="shared" si="8"/>
        <v>56.333333333333336</v>
      </c>
      <c r="R53" s="64">
        <f t="shared" si="9"/>
        <v>-7.333333333333333</v>
      </c>
    </row>
    <row r="54" spans="1:18" ht="15" customHeight="1" x14ac:dyDescent="0.15">
      <c r="A54" s="24" t="s">
        <v>71</v>
      </c>
      <c r="B54" s="15" t="s">
        <v>49</v>
      </c>
      <c r="C54" s="16">
        <v>52</v>
      </c>
      <c r="D54" s="16">
        <v>54</v>
      </c>
      <c r="E54" s="17">
        <v>46</v>
      </c>
      <c r="F54" s="28">
        <f t="shared" si="6"/>
        <v>50.666666666666664</v>
      </c>
      <c r="G54" s="35">
        <f t="shared" si="7"/>
        <v>-4.6666666666666643</v>
      </c>
      <c r="H54" s="2"/>
      <c r="I54" s="24" t="s">
        <v>71</v>
      </c>
      <c r="J54" s="45" t="s">
        <v>49</v>
      </c>
      <c r="K54" s="47">
        <v>4</v>
      </c>
      <c r="L54" s="47">
        <v>6</v>
      </c>
      <c r="M54" s="54">
        <v>3</v>
      </c>
      <c r="N54" s="46">
        <f t="shared" si="10"/>
        <v>4.333333333333333</v>
      </c>
      <c r="O54" s="34">
        <f t="shared" si="11"/>
        <v>-1.333333333333333</v>
      </c>
      <c r="Q54" s="63">
        <f t="shared" si="8"/>
        <v>55</v>
      </c>
      <c r="R54" s="64">
        <f t="shared" si="9"/>
        <v>-5.9999999999999973</v>
      </c>
    </row>
    <row r="55" spans="1:18" ht="15" customHeight="1" x14ac:dyDescent="0.15">
      <c r="A55" s="24" t="s">
        <v>76</v>
      </c>
      <c r="B55" s="15" t="s">
        <v>18</v>
      </c>
      <c r="C55" s="16">
        <v>71</v>
      </c>
      <c r="D55" s="16">
        <v>74</v>
      </c>
      <c r="E55" s="17">
        <v>52</v>
      </c>
      <c r="F55" s="28">
        <f t="shared" si="6"/>
        <v>65.666666666666671</v>
      </c>
      <c r="G55" s="35">
        <f t="shared" si="7"/>
        <v>-13.666666666666671</v>
      </c>
      <c r="H55" s="2"/>
      <c r="I55" s="24" t="s">
        <v>76</v>
      </c>
      <c r="J55" s="45" t="s">
        <v>18</v>
      </c>
      <c r="K55" s="47">
        <v>4</v>
      </c>
      <c r="L55" s="47">
        <v>2</v>
      </c>
      <c r="M55" s="54">
        <v>3</v>
      </c>
      <c r="N55" s="46">
        <f t="shared" si="10"/>
        <v>3</v>
      </c>
      <c r="O55" s="34">
        <f t="shared" si="11"/>
        <v>0</v>
      </c>
      <c r="Q55" s="63">
        <f t="shared" si="8"/>
        <v>68.666666666666671</v>
      </c>
      <c r="R55" s="64">
        <f t="shared" si="9"/>
        <v>-13.666666666666671</v>
      </c>
    </row>
    <row r="56" spans="1:18" ht="15" customHeight="1" x14ac:dyDescent="0.15">
      <c r="A56" s="24" t="s">
        <v>58</v>
      </c>
      <c r="B56" s="15" t="s">
        <v>4</v>
      </c>
      <c r="C56" s="16">
        <v>80</v>
      </c>
      <c r="D56" s="16">
        <v>102</v>
      </c>
      <c r="E56" s="17">
        <v>90</v>
      </c>
      <c r="F56" s="28">
        <f t="shared" si="6"/>
        <v>90.666666666666671</v>
      </c>
      <c r="G56" s="35">
        <f t="shared" si="7"/>
        <v>-0.6666666666666714</v>
      </c>
      <c r="H56" s="2"/>
      <c r="I56" s="24" t="s">
        <v>58</v>
      </c>
      <c r="J56" s="45" t="s">
        <v>4</v>
      </c>
      <c r="K56" s="47">
        <v>1</v>
      </c>
      <c r="L56" s="47">
        <v>5</v>
      </c>
      <c r="M56" s="54">
        <v>5</v>
      </c>
      <c r="N56" s="46">
        <f t="shared" si="10"/>
        <v>3.6666666666666665</v>
      </c>
      <c r="O56" s="34">
        <f t="shared" si="11"/>
        <v>1.3333333333333335</v>
      </c>
      <c r="Q56" s="63">
        <f t="shared" si="8"/>
        <v>94.333333333333343</v>
      </c>
      <c r="R56" s="64">
        <f t="shared" si="9"/>
        <v>0.66666666666666208</v>
      </c>
    </row>
    <row r="57" spans="1:18" ht="15" customHeight="1" x14ac:dyDescent="0.15">
      <c r="A57" s="24" t="s">
        <v>62</v>
      </c>
      <c r="B57" s="15" t="s">
        <v>34</v>
      </c>
      <c r="C57" s="16">
        <v>144</v>
      </c>
      <c r="D57" s="16">
        <v>155</v>
      </c>
      <c r="E57" s="17">
        <v>128</v>
      </c>
      <c r="F57" s="28">
        <f t="shared" si="6"/>
        <v>142.33333333333334</v>
      </c>
      <c r="G57" s="35">
        <f t="shared" si="7"/>
        <v>-14.333333333333343</v>
      </c>
      <c r="H57" s="2"/>
      <c r="I57" s="24" t="s">
        <v>62</v>
      </c>
      <c r="J57" s="45" t="s">
        <v>34</v>
      </c>
      <c r="K57" s="47">
        <v>8</v>
      </c>
      <c r="L57" s="47">
        <v>4</v>
      </c>
      <c r="M57" s="54">
        <v>10</v>
      </c>
      <c r="N57" s="46">
        <f t="shared" si="10"/>
        <v>7.333333333333333</v>
      </c>
      <c r="O57" s="34">
        <f t="shared" si="11"/>
        <v>2.666666666666667</v>
      </c>
      <c r="Q57" s="63">
        <f t="shared" si="8"/>
        <v>149.66666666666669</v>
      </c>
      <c r="R57" s="64">
        <f t="shared" si="9"/>
        <v>-11.666666666666675</v>
      </c>
    </row>
    <row r="58" spans="1:18" ht="15" customHeight="1" x14ac:dyDescent="0.15">
      <c r="A58" s="24" t="s">
        <v>83</v>
      </c>
      <c r="B58" s="15"/>
      <c r="C58" s="16"/>
      <c r="D58" s="16"/>
      <c r="E58" s="17"/>
      <c r="F58" s="28"/>
      <c r="G58" s="35"/>
      <c r="H58" s="2"/>
      <c r="I58" s="24" t="s">
        <v>83</v>
      </c>
      <c r="J58" s="45" t="s">
        <v>88</v>
      </c>
      <c r="K58" s="47">
        <v>20</v>
      </c>
      <c r="L58" s="47">
        <v>22</v>
      </c>
      <c r="M58" s="54">
        <v>20</v>
      </c>
      <c r="N58" s="46">
        <f t="shared" si="10"/>
        <v>20.666666666666668</v>
      </c>
      <c r="O58" s="34">
        <f t="shared" si="11"/>
        <v>-0.66666666666666785</v>
      </c>
      <c r="Q58" s="63">
        <f t="shared" si="8"/>
        <v>20.666666666666668</v>
      </c>
      <c r="R58" s="64">
        <f t="shared" si="9"/>
        <v>-0.66666666666666785</v>
      </c>
    </row>
    <row r="59" spans="1:18" ht="15" customHeight="1" x14ac:dyDescent="0.15">
      <c r="A59" s="24"/>
      <c r="B59" s="15"/>
      <c r="C59" s="16"/>
      <c r="D59" s="16"/>
      <c r="E59" s="17"/>
      <c r="F59" s="28"/>
      <c r="G59" s="35"/>
      <c r="H59" s="2"/>
      <c r="I59" s="24"/>
      <c r="K59" s="33"/>
      <c r="N59" s="46"/>
      <c r="O59" s="34"/>
      <c r="Q59" s="63"/>
      <c r="R59" s="64"/>
    </row>
    <row r="60" spans="1:18" ht="15" customHeight="1" x14ac:dyDescent="0.15">
      <c r="A60" s="24"/>
      <c r="B60" s="31"/>
      <c r="C60" s="32">
        <f>SUM(C8:C59)</f>
        <v>1053</v>
      </c>
      <c r="D60" s="32">
        <f>SUM(D8:D59)</f>
        <v>1026</v>
      </c>
      <c r="E60" s="32">
        <f>SUM(E8:E59)</f>
        <v>940</v>
      </c>
      <c r="F60" s="28">
        <f>AVERAGE(C60:E60)</f>
        <v>1006.3333333333334</v>
      </c>
      <c r="G60" s="35">
        <f t="shared" ref="G60" si="12">E60-F60</f>
        <v>-66.333333333333371</v>
      </c>
      <c r="H60" s="18"/>
      <c r="K60" s="37">
        <f>SUM(K8:K59)</f>
        <v>109</v>
      </c>
      <c r="L60" s="37">
        <f>SUM(L8:L59)</f>
        <v>114</v>
      </c>
      <c r="M60" s="56">
        <f>SUM(M8:M59)</f>
        <v>120</v>
      </c>
      <c r="N60" s="43">
        <f>AVERAGE(K60:M60)</f>
        <v>114.33333333333333</v>
      </c>
      <c r="O60" s="44">
        <f t="shared" ref="O60" si="13">M60-N60</f>
        <v>5.6666666666666714</v>
      </c>
      <c r="Q60" s="63">
        <f t="shared" ref="Q60" si="14">F60+N60</f>
        <v>1120.6666666666667</v>
      </c>
      <c r="R60" s="64">
        <f t="shared" ref="R60" si="15">G60+O60</f>
        <v>-60.6666666666667</v>
      </c>
    </row>
    <row r="61" spans="1:18" ht="15" customHeight="1" x14ac:dyDescent="0.15">
      <c r="A61" s="24"/>
      <c r="B61" s="31"/>
      <c r="C61" s="32"/>
      <c r="D61" s="32"/>
      <c r="E61" s="32"/>
      <c r="F61" s="28"/>
      <c r="G61" s="35"/>
      <c r="H61" s="18"/>
      <c r="L61" s="37"/>
      <c r="M61" s="56"/>
      <c r="N61" s="43"/>
      <c r="O61" s="44"/>
      <c r="Q61" s="63"/>
      <c r="R61" s="64"/>
    </row>
    <row r="62" spans="1:18" ht="15" customHeight="1" x14ac:dyDescent="0.15">
      <c r="A62" s="24"/>
      <c r="B62" s="31"/>
      <c r="C62" s="32"/>
      <c r="D62" s="32"/>
      <c r="E62" s="32"/>
      <c r="F62" s="28"/>
      <c r="G62" s="35"/>
      <c r="H62" s="18"/>
      <c r="L62" s="37"/>
      <c r="M62" s="56"/>
      <c r="N62" s="43"/>
      <c r="O62" s="44"/>
      <c r="Q62" s="63"/>
      <c r="R62" s="64"/>
    </row>
    <row r="63" spans="1:18" ht="15" customHeight="1" x14ac:dyDescent="0.15">
      <c r="A63" s="24"/>
      <c r="B63" s="31"/>
      <c r="C63" s="32"/>
      <c r="D63" s="32"/>
      <c r="E63" s="32"/>
      <c r="F63" s="28"/>
      <c r="G63" s="35"/>
      <c r="H63" s="18"/>
    </row>
    <row r="64" spans="1:18" ht="15" customHeight="1" x14ac:dyDescent="0.15">
      <c r="A64" s="24"/>
      <c r="B64" s="31"/>
      <c r="C64" s="32"/>
      <c r="D64" s="32"/>
      <c r="E64" s="32"/>
      <c r="F64" s="28"/>
      <c r="G64" s="35"/>
      <c r="H64" s="18"/>
    </row>
    <row r="65" spans="1:29" ht="15" customHeight="1" x14ac:dyDescent="0.15">
      <c r="A65" s="24"/>
      <c r="B65" s="31"/>
      <c r="C65" s="32"/>
      <c r="D65" s="32"/>
      <c r="E65" s="32"/>
      <c r="F65" s="28"/>
      <c r="H65" s="18"/>
      <c r="J65" s="30"/>
      <c r="K65" s="33"/>
      <c r="V65" s="66" t="s">
        <v>85</v>
      </c>
      <c r="W65" s="67"/>
      <c r="AB65" s="67" t="s">
        <v>85</v>
      </c>
      <c r="AC65" s="67" t="s">
        <v>98</v>
      </c>
    </row>
    <row r="66" spans="1:29" ht="15" customHeight="1" x14ac:dyDescent="0.15">
      <c r="A66" s="11" t="s">
        <v>74</v>
      </c>
      <c r="B66" s="10" t="s">
        <v>75</v>
      </c>
      <c r="C66" s="12"/>
      <c r="D66" s="12"/>
      <c r="E66" s="25"/>
      <c r="F66" s="28"/>
      <c r="G66" s="35"/>
      <c r="H66" s="2"/>
      <c r="J66" s="30"/>
      <c r="K66" s="33"/>
      <c r="T66" s="67" t="s">
        <v>91</v>
      </c>
      <c r="U66" s="33" t="s">
        <v>82</v>
      </c>
      <c r="V66" s="67" t="s">
        <v>84</v>
      </c>
      <c r="W66" s="67"/>
      <c r="Y66" s="67" t="s">
        <v>92</v>
      </c>
      <c r="Z66" s="67" t="s">
        <v>93</v>
      </c>
      <c r="AA66" s="67" t="s">
        <v>94</v>
      </c>
      <c r="AB66" s="67" t="s">
        <v>97</v>
      </c>
    </row>
    <row r="67" spans="1:29" ht="15" customHeight="1" x14ac:dyDescent="0.15">
      <c r="A67" s="24" t="s">
        <v>71</v>
      </c>
      <c r="B67" s="31"/>
      <c r="C67" s="32">
        <v>74</v>
      </c>
      <c r="D67" s="32">
        <v>80</v>
      </c>
      <c r="E67" s="56">
        <v>69</v>
      </c>
      <c r="F67" s="28">
        <f t="shared" ref="F67:F84" si="16">AVERAGE(C67:E67)</f>
        <v>74.333333333333329</v>
      </c>
      <c r="G67" s="35">
        <f t="shared" ref="G67:G84" si="17">E67-F67</f>
        <v>-5.3333333333333286</v>
      </c>
      <c r="H67" s="18"/>
      <c r="I67" s="24" t="s">
        <v>71</v>
      </c>
      <c r="J67" s="30"/>
      <c r="K67" s="37">
        <v>6</v>
      </c>
      <c r="L67" s="37">
        <v>7</v>
      </c>
      <c r="M67" s="56">
        <v>5</v>
      </c>
      <c r="N67" s="37">
        <v>0</v>
      </c>
      <c r="O67" s="34">
        <v>0</v>
      </c>
      <c r="Q67" s="63">
        <f t="shared" ref="Q67:Q84" si="18">F67+N67</f>
        <v>74.333333333333329</v>
      </c>
      <c r="R67" s="64">
        <f t="shared" ref="R67:R84" si="19">G67+O67</f>
        <v>-5.3333333333333286</v>
      </c>
      <c r="T67" s="67" t="s">
        <v>71</v>
      </c>
      <c r="U67" s="33">
        <v>13</v>
      </c>
      <c r="V67" s="67">
        <v>2550</v>
      </c>
      <c r="W67" s="67">
        <f t="shared" ref="W67:W73" si="20">V67/U67</f>
        <v>196.15384615384616</v>
      </c>
      <c r="Y67" s="67"/>
      <c r="Z67" s="67"/>
      <c r="AA67" s="67"/>
      <c r="AB67" s="67">
        <v>0</v>
      </c>
      <c r="AC67" s="67">
        <f t="shared" ref="AC67:AC84" si="21">V67-AB67</f>
        <v>2550</v>
      </c>
    </row>
    <row r="68" spans="1:29" ht="15" customHeight="1" x14ac:dyDescent="0.15">
      <c r="A68" s="24" t="s">
        <v>76</v>
      </c>
      <c r="B68" s="31"/>
      <c r="C68" s="32">
        <v>154</v>
      </c>
      <c r="D68" s="32">
        <v>150</v>
      </c>
      <c r="E68" s="56">
        <v>142</v>
      </c>
      <c r="F68" s="28">
        <f t="shared" si="16"/>
        <v>148.66666666666666</v>
      </c>
      <c r="G68" s="35">
        <f t="shared" si="17"/>
        <v>-6.6666666666666572</v>
      </c>
      <c r="H68" s="18"/>
      <c r="I68" s="24" t="s">
        <v>76</v>
      </c>
      <c r="J68" s="30"/>
      <c r="K68" s="37">
        <v>5</v>
      </c>
      <c r="L68" s="37">
        <v>4</v>
      </c>
      <c r="M68" s="56">
        <v>3</v>
      </c>
      <c r="N68" s="37">
        <v>11.333333333333334</v>
      </c>
      <c r="O68" s="34">
        <v>-9.3333333333333339</v>
      </c>
      <c r="Q68" s="63">
        <f t="shared" si="18"/>
        <v>160</v>
      </c>
      <c r="R68" s="64">
        <f t="shared" si="19"/>
        <v>-15.999999999999991</v>
      </c>
      <c r="T68" s="67" t="s">
        <v>76</v>
      </c>
      <c r="U68" s="33">
        <v>34</v>
      </c>
      <c r="V68" s="67">
        <v>7700</v>
      </c>
      <c r="W68" s="67">
        <f t="shared" si="20"/>
        <v>226.47058823529412</v>
      </c>
      <c r="Y68" s="67">
        <v>2549</v>
      </c>
      <c r="Z68" s="67">
        <v>2538</v>
      </c>
      <c r="AA68" s="67">
        <v>2944</v>
      </c>
      <c r="AB68" s="67">
        <v>2677</v>
      </c>
      <c r="AC68" s="67">
        <f t="shared" si="21"/>
        <v>5023</v>
      </c>
    </row>
    <row r="69" spans="1:29" ht="15" customHeight="1" x14ac:dyDescent="0.15">
      <c r="A69" s="24" t="s">
        <v>58</v>
      </c>
      <c r="B69" s="31"/>
      <c r="C69" s="32">
        <v>80</v>
      </c>
      <c r="D69" s="32">
        <v>102</v>
      </c>
      <c r="E69" s="56">
        <v>90</v>
      </c>
      <c r="F69" s="28">
        <f t="shared" si="16"/>
        <v>90.666666666666671</v>
      </c>
      <c r="G69" s="35">
        <f t="shared" si="17"/>
        <v>-0.6666666666666714</v>
      </c>
      <c r="H69" s="18"/>
      <c r="I69" s="24" t="s">
        <v>58</v>
      </c>
      <c r="J69" s="30"/>
      <c r="K69" s="37">
        <v>1</v>
      </c>
      <c r="L69" s="37">
        <v>5</v>
      </c>
      <c r="M69" s="56">
        <v>5</v>
      </c>
      <c r="N69" s="37">
        <v>0</v>
      </c>
      <c r="O69" s="34">
        <v>0</v>
      </c>
      <c r="Q69" s="63">
        <f t="shared" si="18"/>
        <v>90.666666666666671</v>
      </c>
      <c r="R69" s="64">
        <f t="shared" si="19"/>
        <v>-0.6666666666666714</v>
      </c>
      <c r="T69" s="67" t="s">
        <v>58</v>
      </c>
      <c r="U69" s="33">
        <v>13</v>
      </c>
      <c r="V69" s="67">
        <v>2739</v>
      </c>
      <c r="W69" s="67">
        <f t="shared" si="20"/>
        <v>210.69230769230768</v>
      </c>
      <c r="Y69" s="67">
        <v>261</v>
      </c>
      <c r="Z69" s="67">
        <v>414</v>
      </c>
      <c r="AA69" s="67">
        <v>501</v>
      </c>
      <c r="AB69" s="67">
        <v>392</v>
      </c>
      <c r="AC69" s="67">
        <f t="shared" si="21"/>
        <v>2347</v>
      </c>
    </row>
    <row r="70" spans="1:29" ht="15" customHeight="1" x14ac:dyDescent="0.15">
      <c r="A70" s="24" t="s">
        <v>66</v>
      </c>
      <c r="B70" s="31"/>
      <c r="C70" s="32">
        <v>20</v>
      </c>
      <c r="D70" s="32">
        <v>39</v>
      </c>
      <c r="E70" s="56">
        <v>32</v>
      </c>
      <c r="F70" s="28">
        <f t="shared" si="16"/>
        <v>30.333333333333332</v>
      </c>
      <c r="G70" s="35">
        <f t="shared" si="17"/>
        <v>1.6666666666666679</v>
      </c>
      <c r="H70" s="18"/>
      <c r="I70" s="24" t="s">
        <v>66</v>
      </c>
      <c r="J70" s="30"/>
      <c r="K70" s="37">
        <v>3</v>
      </c>
      <c r="L70" s="37">
        <v>2</v>
      </c>
      <c r="M70" s="56">
        <v>2</v>
      </c>
      <c r="N70" s="37">
        <v>0</v>
      </c>
      <c r="O70" s="34">
        <v>0</v>
      </c>
      <c r="Q70" s="63">
        <f t="shared" si="18"/>
        <v>30.333333333333332</v>
      </c>
      <c r="R70" s="64">
        <f t="shared" si="19"/>
        <v>1.6666666666666679</v>
      </c>
      <c r="T70" s="67" t="s">
        <v>66</v>
      </c>
      <c r="U70" s="33">
        <v>9</v>
      </c>
      <c r="V70" s="67">
        <v>2497</v>
      </c>
      <c r="W70" s="67">
        <f t="shared" si="20"/>
        <v>277.44444444444446</v>
      </c>
      <c r="Y70" s="67">
        <v>450</v>
      </c>
      <c r="Z70" s="67">
        <v>1740</v>
      </c>
      <c r="AA70" s="67">
        <v>2043</v>
      </c>
      <c r="AB70" s="67">
        <v>1411</v>
      </c>
      <c r="AC70" s="67">
        <f t="shared" si="21"/>
        <v>1086</v>
      </c>
    </row>
    <row r="71" spans="1:29" ht="15" customHeight="1" x14ac:dyDescent="0.15">
      <c r="A71" s="24" t="s">
        <v>61</v>
      </c>
      <c r="B71" s="31"/>
      <c r="C71" s="32">
        <v>36</v>
      </c>
      <c r="D71" s="32">
        <v>29</v>
      </c>
      <c r="E71" s="56">
        <v>19</v>
      </c>
      <c r="F71" s="28">
        <f t="shared" si="16"/>
        <v>28</v>
      </c>
      <c r="G71" s="35">
        <f t="shared" si="17"/>
        <v>-9</v>
      </c>
      <c r="H71" s="18"/>
      <c r="I71" s="24" t="s">
        <v>61</v>
      </c>
      <c r="J71" s="30"/>
      <c r="K71" s="37">
        <v>2</v>
      </c>
      <c r="L71" s="37">
        <v>2</v>
      </c>
      <c r="M71" s="56">
        <v>3</v>
      </c>
      <c r="N71" s="37">
        <v>0</v>
      </c>
      <c r="O71" s="34">
        <v>0</v>
      </c>
      <c r="Q71" s="63">
        <f t="shared" si="18"/>
        <v>28</v>
      </c>
      <c r="R71" s="64">
        <f t="shared" si="19"/>
        <v>-9</v>
      </c>
      <c r="T71" s="67" t="s">
        <v>61</v>
      </c>
      <c r="U71" s="33">
        <v>22</v>
      </c>
      <c r="V71" s="67">
        <v>4314</v>
      </c>
      <c r="W71" s="67">
        <f t="shared" si="20"/>
        <v>196.09090909090909</v>
      </c>
      <c r="Y71" s="67">
        <v>1227</v>
      </c>
      <c r="Z71" s="67">
        <v>2712</v>
      </c>
      <c r="AA71" s="67">
        <v>2673</v>
      </c>
      <c r="AB71" s="67">
        <v>2204</v>
      </c>
      <c r="AC71" s="67">
        <f t="shared" si="21"/>
        <v>2110</v>
      </c>
    </row>
    <row r="72" spans="1:29" ht="15" customHeight="1" x14ac:dyDescent="0.15">
      <c r="A72" s="24" t="s">
        <v>69</v>
      </c>
      <c r="B72" s="31"/>
      <c r="C72" s="32">
        <v>4</v>
      </c>
      <c r="D72" s="32">
        <v>3</v>
      </c>
      <c r="E72" s="56">
        <v>7</v>
      </c>
      <c r="F72" s="28">
        <f t="shared" si="16"/>
        <v>4.666666666666667</v>
      </c>
      <c r="G72" s="35">
        <f t="shared" si="17"/>
        <v>2.333333333333333</v>
      </c>
      <c r="H72" s="18"/>
      <c r="I72" s="24" t="s">
        <v>69</v>
      </c>
      <c r="J72" s="30"/>
      <c r="K72" s="37">
        <v>0</v>
      </c>
      <c r="L72" s="37">
        <v>3</v>
      </c>
      <c r="M72" s="56">
        <v>0</v>
      </c>
      <c r="N72" s="37">
        <v>2.5</v>
      </c>
      <c r="O72" s="34">
        <v>-1.5</v>
      </c>
      <c r="Q72" s="63">
        <f t="shared" si="18"/>
        <v>7.166666666666667</v>
      </c>
      <c r="R72" s="64">
        <f t="shared" si="19"/>
        <v>0.83333333333333304</v>
      </c>
      <c r="T72" s="67" t="s">
        <v>69</v>
      </c>
      <c r="U72" s="33">
        <v>7</v>
      </c>
      <c r="V72" s="67">
        <v>1966</v>
      </c>
      <c r="W72" s="67">
        <f t="shared" si="20"/>
        <v>280.85714285714283</v>
      </c>
      <c r="Y72" s="67">
        <v>1302</v>
      </c>
      <c r="Z72" s="67">
        <v>1197</v>
      </c>
      <c r="AA72" s="67">
        <v>1287</v>
      </c>
      <c r="AB72" s="67">
        <v>1262</v>
      </c>
      <c r="AC72" s="67">
        <f t="shared" si="21"/>
        <v>704</v>
      </c>
    </row>
    <row r="73" spans="1:29" ht="15" customHeight="1" x14ac:dyDescent="0.15">
      <c r="A73" s="24" t="s">
        <v>73</v>
      </c>
      <c r="B73" s="31"/>
      <c r="C73" s="32">
        <v>43</v>
      </c>
      <c r="D73" s="32">
        <v>43</v>
      </c>
      <c r="E73" s="56">
        <v>28</v>
      </c>
      <c r="F73" s="28">
        <f t="shared" si="16"/>
        <v>38</v>
      </c>
      <c r="G73" s="35">
        <f t="shared" si="17"/>
        <v>-10</v>
      </c>
      <c r="H73" s="18"/>
      <c r="I73" s="24" t="s">
        <v>73</v>
      </c>
      <c r="J73" s="30"/>
      <c r="K73" s="37">
        <v>1</v>
      </c>
      <c r="L73" s="37">
        <v>3</v>
      </c>
      <c r="M73" s="56">
        <v>1</v>
      </c>
      <c r="N73" s="37">
        <v>0</v>
      </c>
      <c r="O73" s="34">
        <v>0</v>
      </c>
      <c r="Q73" s="63">
        <f t="shared" si="18"/>
        <v>38</v>
      </c>
      <c r="R73" s="64">
        <f t="shared" si="19"/>
        <v>-10</v>
      </c>
      <c r="T73" s="67" t="s">
        <v>73</v>
      </c>
      <c r="U73" s="33">
        <v>15</v>
      </c>
      <c r="V73" s="67">
        <v>2889</v>
      </c>
      <c r="W73" s="67">
        <f t="shared" si="20"/>
        <v>192.6</v>
      </c>
      <c r="Y73" s="67">
        <v>1851</v>
      </c>
      <c r="Z73" s="67">
        <v>2031</v>
      </c>
      <c r="AA73" s="67">
        <v>2070</v>
      </c>
      <c r="AB73" s="67">
        <v>1984</v>
      </c>
      <c r="AC73" s="67">
        <f t="shared" si="21"/>
        <v>905</v>
      </c>
    </row>
    <row r="74" spans="1:29" ht="15" customHeight="1" x14ac:dyDescent="0.15">
      <c r="A74" s="24" t="s">
        <v>64</v>
      </c>
      <c r="B74" s="31"/>
      <c r="C74" s="32">
        <v>22</v>
      </c>
      <c r="D74" s="32">
        <v>31</v>
      </c>
      <c r="E74" s="56">
        <v>36</v>
      </c>
      <c r="F74" s="28">
        <f t="shared" si="16"/>
        <v>29.666666666666668</v>
      </c>
      <c r="G74" s="35">
        <f t="shared" si="17"/>
        <v>6.3333333333333321</v>
      </c>
      <c r="H74" s="18"/>
      <c r="I74" s="24" t="s">
        <v>64</v>
      </c>
      <c r="J74" s="30"/>
      <c r="K74" s="37">
        <v>10</v>
      </c>
      <c r="L74" s="37">
        <v>10</v>
      </c>
      <c r="M74" s="56">
        <v>13</v>
      </c>
      <c r="N74" s="37">
        <v>13.666666666666668</v>
      </c>
      <c r="O74" s="34">
        <v>0.33333333333333282</v>
      </c>
      <c r="Q74" s="63">
        <f t="shared" si="18"/>
        <v>43.333333333333336</v>
      </c>
      <c r="R74" s="64">
        <f t="shared" si="19"/>
        <v>6.6666666666666652</v>
      </c>
      <c r="T74" s="67" t="s">
        <v>95</v>
      </c>
      <c r="U74" s="33"/>
      <c r="V74" s="67"/>
      <c r="W74" s="67"/>
      <c r="Y74" s="67">
        <v>405</v>
      </c>
      <c r="Z74" s="67">
        <v>684</v>
      </c>
      <c r="AA74" s="67">
        <v>780</v>
      </c>
      <c r="AB74" s="67">
        <v>623</v>
      </c>
      <c r="AC74" s="67">
        <f t="shared" si="21"/>
        <v>-623</v>
      </c>
    </row>
    <row r="75" spans="1:29" ht="15" customHeight="1" x14ac:dyDescent="0.15">
      <c r="A75" s="24" t="s">
        <v>83</v>
      </c>
      <c r="B75" s="31"/>
      <c r="C75" s="32">
        <v>0</v>
      </c>
      <c r="D75" s="32">
        <v>0</v>
      </c>
      <c r="E75" s="56">
        <v>0</v>
      </c>
      <c r="F75" s="28">
        <f t="shared" si="16"/>
        <v>0</v>
      </c>
      <c r="G75" s="35">
        <f t="shared" si="17"/>
        <v>0</v>
      </c>
      <c r="H75" s="18"/>
      <c r="I75" s="24" t="s">
        <v>83</v>
      </c>
      <c r="J75" s="30"/>
      <c r="K75" s="37">
        <v>20</v>
      </c>
      <c r="L75" s="37">
        <v>22</v>
      </c>
      <c r="M75" s="56">
        <v>20</v>
      </c>
      <c r="N75" s="37">
        <v>4.666666666666667</v>
      </c>
      <c r="O75" s="34">
        <v>-1.666666666666667</v>
      </c>
      <c r="Q75" s="63">
        <f t="shared" si="18"/>
        <v>4.666666666666667</v>
      </c>
      <c r="R75" s="64">
        <f t="shared" si="19"/>
        <v>-1.666666666666667</v>
      </c>
      <c r="T75" s="67" t="s">
        <v>83</v>
      </c>
      <c r="U75" s="33">
        <v>13</v>
      </c>
      <c r="V75" s="67">
        <v>3779</v>
      </c>
      <c r="W75" s="67">
        <f t="shared" ref="W75:W84" si="22">V75/U75</f>
        <v>290.69230769230768</v>
      </c>
      <c r="Y75" s="67">
        <v>1107</v>
      </c>
      <c r="Z75" s="67">
        <v>1395</v>
      </c>
      <c r="AA75" s="67">
        <v>993</v>
      </c>
      <c r="AB75" s="67">
        <v>1165</v>
      </c>
      <c r="AC75" s="67">
        <f t="shared" si="21"/>
        <v>2614</v>
      </c>
    </row>
    <row r="76" spans="1:29" ht="15" customHeight="1" x14ac:dyDescent="0.15">
      <c r="A76" s="24" t="s">
        <v>63</v>
      </c>
      <c r="B76" s="31"/>
      <c r="C76" s="32">
        <v>25</v>
      </c>
      <c r="D76" s="32">
        <v>13</v>
      </c>
      <c r="E76" s="56">
        <v>17</v>
      </c>
      <c r="F76" s="28">
        <f t="shared" si="16"/>
        <v>18.333333333333332</v>
      </c>
      <c r="G76" s="35">
        <f t="shared" si="17"/>
        <v>-1.3333333333333321</v>
      </c>
      <c r="H76" s="18"/>
      <c r="I76" s="24" t="s">
        <v>63</v>
      </c>
      <c r="J76" s="30"/>
      <c r="K76" s="37">
        <v>1</v>
      </c>
      <c r="L76" s="37">
        <v>2</v>
      </c>
      <c r="M76" s="56">
        <v>0</v>
      </c>
      <c r="N76" s="37">
        <v>2</v>
      </c>
      <c r="O76" s="34">
        <v>1</v>
      </c>
      <c r="Q76" s="63">
        <f t="shared" si="18"/>
        <v>20.333333333333332</v>
      </c>
      <c r="R76" s="64">
        <f t="shared" si="19"/>
        <v>-0.33333333333333215</v>
      </c>
      <c r="T76" s="67" t="s">
        <v>63</v>
      </c>
      <c r="U76" s="33">
        <v>16</v>
      </c>
      <c r="V76" s="67">
        <v>5026</v>
      </c>
      <c r="W76" s="67">
        <f t="shared" si="22"/>
        <v>314.125</v>
      </c>
      <c r="Y76" s="67">
        <v>5980</v>
      </c>
      <c r="Z76" s="67">
        <v>4541</v>
      </c>
      <c r="AA76" s="67">
        <v>4313</v>
      </c>
      <c r="AB76" s="67">
        <v>4944.666666666667</v>
      </c>
      <c r="AC76" s="67">
        <f t="shared" si="21"/>
        <v>81.33333333333303</v>
      </c>
    </row>
    <row r="77" spans="1:29" ht="15" customHeight="1" x14ac:dyDescent="0.15">
      <c r="A77" s="24" t="s">
        <v>60</v>
      </c>
      <c r="B77" s="31"/>
      <c r="C77" s="32">
        <v>9</v>
      </c>
      <c r="D77" s="32">
        <v>11</v>
      </c>
      <c r="E77" s="56">
        <v>10</v>
      </c>
      <c r="F77" s="28">
        <f t="shared" si="16"/>
        <v>10</v>
      </c>
      <c r="G77" s="35">
        <f t="shared" si="17"/>
        <v>0</v>
      </c>
      <c r="H77" s="18"/>
      <c r="I77" s="24" t="s">
        <v>60</v>
      </c>
      <c r="J77" s="30"/>
      <c r="K77" s="37">
        <v>4</v>
      </c>
      <c r="L77" s="37">
        <v>4</v>
      </c>
      <c r="M77" s="56">
        <v>1</v>
      </c>
      <c r="N77" s="37">
        <v>9.8333333333333321</v>
      </c>
      <c r="O77" s="34">
        <v>-0.83333333333333304</v>
      </c>
      <c r="Q77" s="63">
        <f t="shared" si="18"/>
        <v>19.833333333333332</v>
      </c>
      <c r="R77" s="64">
        <f t="shared" si="19"/>
        <v>-0.83333333333333304</v>
      </c>
      <c r="T77" s="67" t="s">
        <v>60</v>
      </c>
      <c r="U77" s="33">
        <v>16</v>
      </c>
      <c r="V77" s="67">
        <v>4187</v>
      </c>
      <c r="W77" s="67">
        <f t="shared" si="22"/>
        <v>261.6875</v>
      </c>
      <c r="Y77" s="67">
        <v>983</v>
      </c>
      <c r="Z77" s="67">
        <v>2769</v>
      </c>
      <c r="AA77" s="67">
        <v>2538</v>
      </c>
      <c r="AB77" s="67">
        <v>2096.6666666666665</v>
      </c>
      <c r="AC77" s="67">
        <f t="shared" si="21"/>
        <v>2090.3333333333335</v>
      </c>
    </row>
    <row r="78" spans="1:29" ht="15" customHeight="1" x14ac:dyDescent="0.15">
      <c r="A78" s="24" t="s">
        <v>72</v>
      </c>
      <c r="B78" s="31"/>
      <c r="C78" s="32">
        <v>107</v>
      </c>
      <c r="D78" s="32">
        <v>68</v>
      </c>
      <c r="E78" s="56">
        <v>68</v>
      </c>
      <c r="F78" s="28">
        <f t="shared" si="16"/>
        <v>81</v>
      </c>
      <c r="G78" s="35">
        <f t="shared" si="17"/>
        <v>-13</v>
      </c>
      <c r="H78" s="18"/>
      <c r="I78" s="24" t="s">
        <v>72</v>
      </c>
      <c r="J78" s="30"/>
      <c r="K78" s="37">
        <v>14</v>
      </c>
      <c r="L78" s="37">
        <v>7</v>
      </c>
      <c r="M78" s="56">
        <v>21</v>
      </c>
      <c r="N78" s="37">
        <v>1</v>
      </c>
      <c r="O78" s="34">
        <v>-1</v>
      </c>
      <c r="Q78" s="63">
        <f t="shared" si="18"/>
        <v>82</v>
      </c>
      <c r="R78" s="64">
        <f t="shared" si="19"/>
        <v>-14</v>
      </c>
      <c r="T78" s="67" t="s">
        <v>72</v>
      </c>
      <c r="U78" s="33">
        <v>9</v>
      </c>
      <c r="V78" s="67">
        <v>4019</v>
      </c>
      <c r="W78" s="67">
        <f t="shared" si="22"/>
        <v>446.55555555555554</v>
      </c>
      <c r="Y78" s="67"/>
      <c r="Z78" s="67"/>
      <c r="AA78" s="67"/>
      <c r="AB78" s="67">
        <v>0</v>
      </c>
      <c r="AC78" s="67">
        <f t="shared" si="21"/>
        <v>4019</v>
      </c>
    </row>
    <row r="79" spans="1:29" ht="15" customHeight="1" x14ac:dyDescent="0.15">
      <c r="A79" s="24" t="s">
        <v>70</v>
      </c>
      <c r="B79" s="31"/>
      <c r="C79" s="32">
        <v>46</v>
      </c>
      <c r="D79" s="32">
        <v>46</v>
      </c>
      <c r="E79" s="56">
        <v>40</v>
      </c>
      <c r="F79" s="28">
        <f t="shared" si="16"/>
        <v>44</v>
      </c>
      <c r="G79" s="35">
        <f t="shared" si="17"/>
        <v>-4</v>
      </c>
      <c r="H79" s="18"/>
      <c r="I79" s="24" t="s">
        <v>70</v>
      </c>
      <c r="J79" s="30"/>
      <c r="K79" s="37">
        <v>2</v>
      </c>
      <c r="L79" s="37">
        <v>4</v>
      </c>
      <c r="M79" s="56">
        <v>4</v>
      </c>
      <c r="N79" s="37">
        <v>2.333333333333333</v>
      </c>
      <c r="O79" s="34">
        <v>-1.3333333333333333</v>
      </c>
      <c r="Q79" s="63">
        <f t="shared" si="18"/>
        <v>46.333333333333336</v>
      </c>
      <c r="R79" s="64">
        <f t="shared" si="19"/>
        <v>-5.333333333333333</v>
      </c>
      <c r="T79" s="67" t="s">
        <v>70</v>
      </c>
      <c r="U79" s="33">
        <v>21</v>
      </c>
      <c r="V79" s="67">
        <v>2351</v>
      </c>
      <c r="W79" s="67">
        <f t="shared" si="22"/>
        <v>111.95238095238095</v>
      </c>
      <c r="Y79" s="67">
        <v>1067</v>
      </c>
      <c r="Z79" s="67">
        <v>1048</v>
      </c>
      <c r="AA79" s="67">
        <v>1226</v>
      </c>
      <c r="AB79" s="67">
        <v>1113.6666666666667</v>
      </c>
      <c r="AC79" s="67">
        <f t="shared" si="21"/>
        <v>1237.3333333333333</v>
      </c>
    </row>
    <row r="80" spans="1:29" ht="15" customHeight="1" x14ac:dyDescent="0.15">
      <c r="A80" s="24" t="s">
        <v>65</v>
      </c>
      <c r="B80" s="31"/>
      <c r="C80" s="32">
        <v>12</v>
      </c>
      <c r="D80" s="32">
        <v>8</v>
      </c>
      <c r="E80" s="56">
        <v>10</v>
      </c>
      <c r="F80" s="28">
        <f t="shared" si="16"/>
        <v>10</v>
      </c>
      <c r="G80" s="35">
        <f t="shared" si="17"/>
        <v>0</v>
      </c>
      <c r="H80" s="18"/>
      <c r="I80" s="24" t="s">
        <v>65</v>
      </c>
      <c r="J80" s="30"/>
      <c r="K80" s="37">
        <v>8</v>
      </c>
      <c r="L80" s="37">
        <v>3</v>
      </c>
      <c r="M80" s="56">
        <v>3</v>
      </c>
      <c r="N80" s="37">
        <v>1.6666666666666667</v>
      </c>
      <c r="O80" s="34">
        <v>0.33333333333333326</v>
      </c>
      <c r="Q80" s="63">
        <f t="shared" si="18"/>
        <v>11.666666666666666</v>
      </c>
      <c r="R80" s="64">
        <f t="shared" si="19"/>
        <v>0.33333333333333326</v>
      </c>
      <c r="T80" s="67" t="s">
        <v>65</v>
      </c>
      <c r="U80" s="33">
        <v>13</v>
      </c>
      <c r="V80" s="67">
        <v>3260</v>
      </c>
      <c r="W80" s="67">
        <f t="shared" si="22"/>
        <v>250.76923076923077</v>
      </c>
      <c r="Y80" s="67">
        <v>2253</v>
      </c>
      <c r="Z80" s="67">
        <v>2655</v>
      </c>
      <c r="AA80" s="67">
        <v>2847</v>
      </c>
      <c r="AB80" s="67">
        <v>2585</v>
      </c>
      <c r="AC80" s="67">
        <f t="shared" si="21"/>
        <v>675</v>
      </c>
    </row>
    <row r="81" spans="1:29" ht="15" customHeight="1" x14ac:dyDescent="0.15">
      <c r="A81" s="24" t="s">
        <v>67</v>
      </c>
      <c r="B81" s="31"/>
      <c r="C81" s="32">
        <v>54</v>
      </c>
      <c r="D81" s="32">
        <v>53</v>
      </c>
      <c r="E81" s="56">
        <v>50</v>
      </c>
      <c r="F81" s="28">
        <f t="shared" si="16"/>
        <v>52.333333333333336</v>
      </c>
      <c r="G81" s="35">
        <f t="shared" si="17"/>
        <v>-2.3333333333333357</v>
      </c>
      <c r="H81" s="18"/>
      <c r="I81" s="24" t="s">
        <v>67</v>
      </c>
      <c r="J81" s="30"/>
      <c r="K81" s="37">
        <v>7</v>
      </c>
      <c r="L81" s="37">
        <v>10</v>
      </c>
      <c r="M81" s="56">
        <v>5</v>
      </c>
      <c r="N81" s="37">
        <v>7.833333333333333</v>
      </c>
      <c r="O81" s="34">
        <v>2.166666666666667</v>
      </c>
      <c r="Q81" s="63">
        <f t="shared" si="18"/>
        <v>60.166666666666671</v>
      </c>
      <c r="R81" s="64">
        <f t="shared" si="19"/>
        <v>-0.16666666666666874</v>
      </c>
      <c r="T81" s="67" t="s">
        <v>67</v>
      </c>
      <c r="U81" s="33">
        <v>11</v>
      </c>
      <c r="V81" s="67">
        <v>2234</v>
      </c>
      <c r="W81" s="67">
        <f t="shared" si="22"/>
        <v>203.09090909090909</v>
      </c>
      <c r="Y81" s="67">
        <v>486</v>
      </c>
      <c r="Z81" s="67">
        <v>1029</v>
      </c>
      <c r="AA81" s="67">
        <v>1101</v>
      </c>
      <c r="AB81" s="67">
        <v>872</v>
      </c>
      <c r="AC81" s="67">
        <f t="shared" si="21"/>
        <v>1362</v>
      </c>
    </row>
    <row r="82" spans="1:29" ht="15" customHeight="1" x14ac:dyDescent="0.15">
      <c r="A82" s="24" t="s">
        <v>62</v>
      </c>
      <c r="B82" s="31"/>
      <c r="C82" s="32">
        <v>173</v>
      </c>
      <c r="D82" s="32">
        <v>176</v>
      </c>
      <c r="E82" s="56">
        <v>152</v>
      </c>
      <c r="F82" s="28">
        <f t="shared" si="16"/>
        <v>167</v>
      </c>
      <c r="G82" s="35">
        <f t="shared" si="17"/>
        <v>-15</v>
      </c>
      <c r="H82" s="18"/>
      <c r="I82" s="24" t="s">
        <v>62</v>
      </c>
      <c r="J82" s="30"/>
      <c r="K82" s="37">
        <v>8</v>
      </c>
      <c r="L82" s="37">
        <v>5</v>
      </c>
      <c r="M82" s="56">
        <v>12</v>
      </c>
      <c r="N82" s="37">
        <v>2.3333333333333335</v>
      </c>
      <c r="O82" s="34">
        <v>0.66666666666666652</v>
      </c>
      <c r="Q82" s="63">
        <f t="shared" si="18"/>
        <v>169.33333333333334</v>
      </c>
      <c r="R82" s="64">
        <f t="shared" si="19"/>
        <v>-14.333333333333334</v>
      </c>
      <c r="T82" s="67" t="s">
        <v>62</v>
      </c>
      <c r="U82" s="33">
        <v>19</v>
      </c>
      <c r="V82" s="67">
        <v>5052</v>
      </c>
      <c r="W82" s="67">
        <f t="shared" si="22"/>
        <v>265.89473684210526</v>
      </c>
      <c r="Y82" s="67">
        <v>1596</v>
      </c>
      <c r="Z82" s="67">
        <v>786</v>
      </c>
      <c r="AA82" s="67">
        <v>855</v>
      </c>
      <c r="AB82" s="67">
        <v>1079</v>
      </c>
      <c r="AC82" s="67">
        <f t="shared" si="21"/>
        <v>3973</v>
      </c>
    </row>
    <row r="83" spans="1:29" ht="15" customHeight="1" x14ac:dyDescent="0.15">
      <c r="A83" s="24" t="s">
        <v>59</v>
      </c>
      <c r="B83" s="31"/>
      <c r="C83" s="32">
        <v>133</v>
      </c>
      <c r="D83" s="32">
        <v>108</v>
      </c>
      <c r="E83" s="56">
        <v>116</v>
      </c>
      <c r="F83" s="28">
        <f t="shared" si="16"/>
        <v>119</v>
      </c>
      <c r="G83" s="35">
        <f t="shared" si="17"/>
        <v>-3</v>
      </c>
      <c r="H83" s="18"/>
      <c r="I83" s="24" t="s">
        <v>59</v>
      </c>
      <c r="J83" s="30"/>
      <c r="K83" s="37">
        <v>5</v>
      </c>
      <c r="L83" s="37">
        <v>3</v>
      </c>
      <c r="M83" s="56">
        <v>3</v>
      </c>
      <c r="N83" s="37">
        <v>31.333333333333332</v>
      </c>
      <c r="O83" s="34">
        <v>2.666666666666667</v>
      </c>
      <c r="Q83" s="63">
        <f t="shared" si="18"/>
        <v>150.33333333333334</v>
      </c>
      <c r="R83" s="64">
        <f t="shared" si="19"/>
        <v>-0.33333333333333304</v>
      </c>
      <c r="T83" s="67" t="s">
        <v>59</v>
      </c>
      <c r="U83" s="33">
        <v>27</v>
      </c>
      <c r="V83" s="67">
        <v>7160</v>
      </c>
      <c r="W83" s="67">
        <f t="shared" si="22"/>
        <v>265.18518518518516</v>
      </c>
      <c r="Y83" s="67">
        <v>1607</v>
      </c>
      <c r="Z83" s="67">
        <v>2652</v>
      </c>
      <c r="AA83" s="67">
        <v>2729</v>
      </c>
      <c r="AB83" s="67">
        <v>2329.3333333333335</v>
      </c>
      <c r="AC83" s="67">
        <f t="shared" si="21"/>
        <v>4830.6666666666661</v>
      </c>
    </row>
    <row r="84" spans="1:29" ht="15" customHeight="1" x14ac:dyDescent="0.15">
      <c r="A84" s="24" t="s">
        <v>68</v>
      </c>
      <c r="B84" s="31"/>
      <c r="C84" s="32">
        <v>61</v>
      </c>
      <c r="D84" s="32">
        <v>66</v>
      </c>
      <c r="E84" s="56">
        <v>54</v>
      </c>
      <c r="F84" s="28">
        <f t="shared" si="16"/>
        <v>60.333333333333336</v>
      </c>
      <c r="G84" s="35">
        <f t="shared" si="17"/>
        <v>-6.3333333333333357</v>
      </c>
      <c r="H84" s="18"/>
      <c r="I84" s="24" t="s">
        <v>68</v>
      </c>
      <c r="J84" s="30"/>
      <c r="K84" s="37">
        <v>12</v>
      </c>
      <c r="L84" s="37">
        <v>18</v>
      </c>
      <c r="M84" s="56">
        <v>19</v>
      </c>
      <c r="N84" s="37">
        <v>34.666666666666671</v>
      </c>
      <c r="O84" s="34">
        <v>3.3333333333333321</v>
      </c>
      <c r="Q84" s="63">
        <f t="shared" si="18"/>
        <v>95</v>
      </c>
      <c r="R84" s="64">
        <f t="shared" si="19"/>
        <v>-3.0000000000000036</v>
      </c>
      <c r="T84" s="67" t="s">
        <v>68</v>
      </c>
      <c r="U84" s="33">
        <v>16</v>
      </c>
      <c r="V84" s="67">
        <v>3981</v>
      </c>
      <c r="W84" s="67">
        <f t="shared" si="22"/>
        <v>248.8125</v>
      </c>
      <c r="Y84" s="67">
        <v>537</v>
      </c>
      <c r="Z84" s="67">
        <v>1536</v>
      </c>
      <c r="AA84" s="67">
        <v>1272</v>
      </c>
      <c r="AB84" s="67">
        <v>1115</v>
      </c>
      <c r="AC84" s="67">
        <f t="shared" si="21"/>
        <v>2866</v>
      </c>
    </row>
    <row r="85" spans="1:29" ht="15" customHeight="1" x14ac:dyDescent="0.15">
      <c r="A85" s="24"/>
      <c r="B85" s="31"/>
      <c r="C85" s="32"/>
      <c r="D85" s="32"/>
      <c r="E85" s="56"/>
      <c r="F85" s="28"/>
      <c r="G85" s="35"/>
      <c r="H85" s="18"/>
      <c r="J85" s="30"/>
      <c r="K85" s="33"/>
      <c r="N85" s="46"/>
      <c r="O85" s="34"/>
      <c r="Q85" s="63"/>
      <c r="R85" s="64"/>
      <c r="T85" s="67"/>
      <c r="V85" s="67"/>
      <c r="W85" s="67"/>
      <c r="Y85" s="67"/>
      <c r="Z85" s="67"/>
      <c r="AA85" s="67"/>
      <c r="AB85" s="67"/>
      <c r="AC85" s="67">
        <f t="shared" ref="AC85:AC86" si="23">V85-AB85</f>
        <v>0</v>
      </c>
    </row>
    <row r="86" spans="1:29" ht="15" customHeight="1" x14ac:dyDescent="0.15">
      <c r="A86" s="24"/>
      <c r="B86" s="31"/>
      <c r="C86" s="32">
        <f>SUM(C67:C85)</f>
        <v>1053</v>
      </c>
      <c r="D86" s="32">
        <f t="shared" ref="D86:E86" si="24">SUM(D67:D85)</f>
        <v>1026</v>
      </c>
      <c r="E86" s="56">
        <f t="shared" si="24"/>
        <v>940</v>
      </c>
      <c r="F86" s="28">
        <f t="shared" ref="F86" si="25">AVERAGE(C86:E86)</f>
        <v>1006.3333333333334</v>
      </c>
      <c r="G86" s="35">
        <f t="shared" ref="G86" si="26">E86-F86</f>
        <v>-66.333333333333371</v>
      </c>
      <c r="H86" s="18"/>
      <c r="J86" s="30"/>
      <c r="K86" s="37">
        <f>SUM(K67:K85)</f>
        <v>109</v>
      </c>
      <c r="L86" s="37">
        <f t="shared" ref="L86:M86" si="27">SUM(L67:L85)</f>
        <v>114</v>
      </c>
      <c r="M86" s="56">
        <f t="shared" si="27"/>
        <v>120</v>
      </c>
      <c r="N86" s="28">
        <f t="shared" ref="N86" si="28">AVERAGE(K86:M86)</f>
        <v>114.33333333333333</v>
      </c>
      <c r="O86" s="35">
        <f t="shared" ref="O86" si="29">M86-N86</f>
        <v>5.6666666666666714</v>
      </c>
      <c r="Q86" s="63">
        <f t="shared" ref="Q86" si="30">F86+N86</f>
        <v>1120.6666666666667</v>
      </c>
      <c r="R86" s="64">
        <f t="shared" ref="R86" si="31">G86+O86</f>
        <v>-60.6666666666667</v>
      </c>
      <c r="T86" s="67" t="s">
        <v>96</v>
      </c>
      <c r="U86" s="43">
        <f>SUM(U67:U85)</f>
        <v>274</v>
      </c>
      <c r="V86" s="68">
        <f>SUM(V67:V85)</f>
        <v>65704</v>
      </c>
      <c r="W86" s="67">
        <f t="shared" ref="W86" si="32">V86/U86</f>
        <v>239.79562043795622</v>
      </c>
      <c r="Y86" s="67">
        <v>23661</v>
      </c>
      <c r="Z86" s="67">
        <v>29727</v>
      </c>
      <c r="AA86" s="67">
        <v>30172</v>
      </c>
      <c r="AB86" s="67">
        <v>27853.333333333332</v>
      </c>
      <c r="AC86" s="67">
        <f t="shared" si="23"/>
        <v>37850.666666666672</v>
      </c>
    </row>
    <row r="87" spans="1:29" ht="15" customHeight="1" x14ac:dyDescent="0.15">
      <c r="A87" s="24"/>
      <c r="B87" s="31"/>
      <c r="E87" s="2"/>
      <c r="J87" s="30"/>
      <c r="K87" s="33"/>
      <c r="T87" s="67"/>
      <c r="V87" s="67"/>
      <c r="W87" s="67"/>
      <c r="Y87" s="67"/>
      <c r="Z87" s="67"/>
      <c r="AA87" s="67"/>
      <c r="AB87" s="67"/>
      <c r="AC87" s="67"/>
    </row>
    <row r="88" spans="1:29" ht="15" customHeight="1" x14ac:dyDescent="0.15">
      <c r="A88" s="24"/>
      <c r="B88" s="31"/>
      <c r="E88" s="2"/>
    </row>
    <row r="89" spans="1:29" ht="15" customHeight="1" x14ac:dyDescent="0.15">
      <c r="A89" s="24"/>
      <c r="B89" s="31"/>
      <c r="E89" s="2"/>
    </row>
    <row r="90" spans="1:29" ht="15" customHeight="1" x14ac:dyDescent="0.15">
      <c r="A90" s="24"/>
      <c r="B90" s="31"/>
      <c r="E90" s="2"/>
    </row>
    <row r="91" spans="1:29" ht="15" customHeight="1" x14ac:dyDescent="0.15">
      <c r="A91" s="11" t="s">
        <v>53</v>
      </c>
      <c r="B91" s="10"/>
      <c r="C91" s="13">
        <v>90</v>
      </c>
      <c r="D91" s="13">
        <v>69</v>
      </c>
      <c r="E91" s="14">
        <v>62</v>
      </c>
      <c r="F91" s="28">
        <f>AVERAGE(C91:E91)</f>
        <v>73.666666666666671</v>
      </c>
    </row>
    <row r="92" spans="1:29" ht="15" customHeight="1" x14ac:dyDescent="0.15">
      <c r="A92" s="11" t="s">
        <v>74</v>
      </c>
      <c r="B92" s="10" t="s">
        <v>75</v>
      </c>
      <c r="C92" s="12"/>
      <c r="D92" s="12"/>
      <c r="E92" s="25"/>
      <c r="F92" s="28"/>
    </row>
    <row r="93" spans="1:29" ht="15" customHeight="1" x14ac:dyDescent="0.15">
      <c r="A93" s="24"/>
      <c r="B93" s="31"/>
      <c r="E93" s="2"/>
    </row>
    <row r="94" spans="1:29" ht="15" customHeight="1" x14ac:dyDescent="0.15">
      <c r="A94" s="24" t="s">
        <v>59</v>
      </c>
      <c r="B94" s="26" t="s">
        <v>56</v>
      </c>
      <c r="C94" s="30">
        <v>7</v>
      </c>
      <c r="D94" s="30">
        <v>2</v>
      </c>
      <c r="E94" s="2">
        <v>5</v>
      </c>
      <c r="F94" s="28">
        <f>AVERAGE(C94:E94)</f>
        <v>4.666666666666667</v>
      </c>
      <c r="G94" s="35">
        <f>E94-F94</f>
        <v>0.33333333333333304</v>
      </c>
    </row>
    <row r="95" spans="1:29" ht="15" customHeight="1" x14ac:dyDescent="0.15">
      <c r="A95" s="24" t="s">
        <v>76</v>
      </c>
      <c r="B95" s="26" t="s">
        <v>54</v>
      </c>
      <c r="C95" s="30">
        <v>13</v>
      </c>
      <c r="D95" s="30">
        <v>9</v>
      </c>
      <c r="E95" s="2">
        <v>10</v>
      </c>
      <c r="F95" s="28">
        <f>AVERAGE(C95:E95)</f>
        <v>10.666666666666666</v>
      </c>
      <c r="G95" s="35">
        <f>E95-F95</f>
        <v>-0.66666666666666607</v>
      </c>
    </row>
    <row r="96" spans="1:29" ht="15" customHeight="1" x14ac:dyDescent="0.15">
      <c r="A96" s="24" t="s">
        <v>71</v>
      </c>
      <c r="B96" s="26" t="s">
        <v>57</v>
      </c>
      <c r="C96" s="30">
        <v>14</v>
      </c>
      <c r="D96" s="30">
        <v>24</v>
      </c>
      <c r="E96" s="2">
        <v>15</v>
      </c>
      <c r="F96" s="28">
        <f>AVERAGE(C96:E96)</f>
        <v>17.666666666666668</v>
      </c>
      <c r="G96" s="35">
        <f>E96-F96</f>
        <v>-2.6666666666666679</v>
      </c>
    </row>
    <row r="97" spans="1:7" ht="15" customHeight="1" x14ac:dyDescent="0.15">
      <c r="A97" s="24" t="s">
        <v>77</v>
      </c>
      <c r="B97" s="26" t="s">
        <v>55</v>
      </c>
      <c r="C97" s="30">
        <v>56</v>
      </c>
      <c r="D97" s="30">
        <v>34</v>
      </c>
      <c r="E97" s="2">
        <v>32</v>
      </c>
      <c r="F97" s="28">
        <f>AVERAGE(C97:E97)</f>
        <v>40.666666666666664</v>
      </c>
      <c r="G97" s="35">
        <f>E97-F97</f>
        <v>-8.6666666666666643</v>
      </c>
    </row>
    <row r="98" spans="1:7" ht="15" customHeight="1" x14ac:dyDescent="0.15">
      <c r="A98" s="24"/>
      <c r="B98" s="31"/>
      <c r="E98" s="2"/>
      <c r="G98" s="35"/>
    </row>
    <row r="99" spans="1:7" ht="15" customHeight="1" x14ac:dyDescent="0.15">
      <c r="A99" s="24"/>
      <c r="B99" s="31"/>
      <c r="C99" s="30">
        <f>SUM(C94:C98)</f>
        <v>90</v>
      </c>
      <c r="D99" s="30">
        <f t="shared" ref="D99:E99" si="33">SUM(D94:D98)</f>
        <v>69</v>
      </c>
      <c r="E99" s="30">
        <f t="shared" si="33"/>
        <v>62</v>
      </c>
      <c r="F99" s="28">
        <f>AVERAGE(C99:E99)</f>
        <v>73.666666666666671</v>
      </c>
      <c r="G99" s="35">
        <f t="shared" ref="G99" si="34">E99-F99</f>
        <v>-11.666666666666671</v>
      </c>
    </row>
    <row r="100" spans="1:7" ht="15" customHeight="1" x14ac:dyDescent="0.15">
      <c r="A100" s="24"/>
      <c r="B100" s="31"/>
      <c r="E100" s="2"/>
    </row>
    <row r="101" spans="1:7" ht="15" customHeight="1" x14ac:dyDescent="0.15">
      <c r="A101" s="24"/>
      <c r="B101" s="31"/>
      <c r="E101" s="2"/>
    </row>
    <row r="102" spans="1:7" ht="15" customHeight="1" x14ac:dyDescent="0.15">
      <c r="A102" s="24"/>
      <c r="B102" s="31"/>
      <c r="E102" s="2"/>
    </row>
    <row r="103" spans="1:7" ht="15" customHeight="1" x14ac:dyDescent="0.15">
      <c r="A103" s="24"/>
      <c r="B103" s="31"/>
      <c r="E103" s="2"/>
    </row>
    <row r="104" spans="1:7" ht="15" customHeight="1" x14ac:dyDescent="0.15">
      <c r="A104" s="24"/>
      <c r="B104" s="31"/>
      <c r="E104" s="2"/>
    </row>
    <row r="105" spans="1:7" ht="15" customHeight="1" x14ac:dyDescent="0.15">
      <c r="A105" s="24"/>
      <c r="B105" s="31"/>
      <c r="E105" s="2"/>
    </row>
    <row r="106" spans="1:7" ht="15" customHeight="1" x14ac:dyDescent="0.15">
      <c r="A106" s="24"/>
      <c r="B106" s="31"/>
      <c r="E106" s="2"/>
    </row>
    <row r="107" spans="1:7" ht="15" customHeight="1" x14ac:dyDescent="0.15">
      <c r="A107" s="24"/>
      <c r="B107" s="31"/>
      <c r="E107" s="2"/>
    </row>
    <row r="108" spans="1:7" ht="15" customHeight="1" x14ac:dyDescent="0.15">
      <c r="A108" s="24"/>
      <c r="B108" s="31"/>
      <c r="E108" s="2"/>
    </row>
    <row r="109" spans="1:7" ht="15" customHeight="1" x14ac:dyDescent="0.15">
      <c r="A109" s="24"/>
      <c r="B109" s="31"/>
      <c r="E109" s="2"/>
    </row>
    <row r="110" spans="1:7" ht="15" customHeight="1" x14ac:dyDescent="0.15">
      <c r="A110" s="24"/>
      <c r="B110" s="31"/>
      <c r="E110" s="2"/>
    </row>
    <row r="111" spans="1:7" ht="15" customHeight="1" x14ac:dyDescent="0.15">
      <c r="A111" s="24"/>
      <c r="B111" s="31"/>
      <c r="E111" s="2"/>
    </row>
    <row r="112" spans="1:7" ht="15" customHeight="1" x14ac:dyDescent="0.15">
      <c r="A112" s="24"/>
      <c r="B112" s="31"/>
      <c r="E112" s="2"/>
    </row>
    <row r="113" spans="1:5" ht="15" customHeight="1" x14ac:dyDescent="0.15">
      <c r="A113" s="24"/>
      <c r="B113" s="31"/>
      <c r="E113" s="2"/>
    </row>
    <row r="114" spans="1:5" ht="15" customHeight="1" x14ac:dyDescent="0.15">
      <c r="A114" s="24"/>
      <c r="B114" s="31"/>
      <c r="E114" s="2"/>
    </row>
    <row r="115" spans="1:5" ht="15" customHeight="1" x14ac:dyDescent="0.15">
      <c r="A115" s="24"/>
      <c r="B115" s="31"/>
      <c r="E115" s="2"/>
    </row>
    <row r="116" spans="1:5" ht="15" customHeight="1" x14ac:dyDescent="0.15">
      <c r="A116" s="24"/>
      <c r="B116" s="31"/>
      <c r="E116" s="2"/>
    </row>
    <row r="117" spans="1:5" ht="15" customHeight="1" x14ac:dyDescent="0.15">
      <c r="A117" s="24"/>
      <c r="B117" s="31"/>
      <c r="E117" s="2"/>
    </row>
    <row r="118" spans="1:5" ht="15" customHeight="1" x14ac:dyDescent="0.15">
      <c r="A118" s="24"/>
      <c r="B118" s="31"/>
      <c r="E118" s="2"/>
    </row>
    <row r="119" spans="1:5" ht="15" customHeight="1" x14ac:dyDescent="0.15">
      <c r="A119" s="24"/>
      <c r="B119" s="31"/>
      <c r="E119" s="2"/>
    </row>
    <row r="120" spans="1:5" ht="15" customHeight="1" x14ac:dyDescent="0.15">
      <c r="A120" s="24"/>
      <c r="B120" s="31"/>
      <c r="E120" s="2"/>
    </row>
    <row r="121" spans="1:5" ht="15" customHeight="1" x14ac:dyDescent="0.15">
      <c r="A121" s="24"/>
      <c r="B121" s="31"/>
      <c r="E121" s="2"/>
    </row>
    <row r="122" spans="1:5" ht="15" customHeight="1" x14ac:dyDescent="0.15">
      <c r="A122" s="24"/>
      <c r="B122" s="31"/>
      <c r="E122" s="2"/>
    </row>
    <row r="123" spans="1:5" ht="15" customHeight="1" x14ac:dyDescent="0.15">
      <c r="A123" s="24"/>
      <c r="B123" s="31"/>
      <c r="E123" s="2"/>
    </row>
    <row r="124" spans="1:5" ht="15" customHeight="1" x14ac:dyDescent="0.15">
      <c r="A124" s="24"/>
      <c r="B124" s="31"/>
      <c r="E124" s="2"/>
    </row>
    <row r="125" spans="1:5" ht="15" customHeight="1" x14ac:dyDescent="0.15">
      <c r="A125" s="24"/>
      <c r="B125" s="31"/>
      <c r="E125" s="2"/>
    </row>
    <row r="126" spans="1:5" ht="15" customHeight="1" x14ac:dyDescent="0.15">
      <c r="A126" s="24"/>
      <c r="B126" s="31"/>
      <c r="E126" s="2"/>
    </row>
    <row r="127" spans="1:5" ht="15" customHeight="1" x14ac:dyDescent="0.15">
      <c r="A127" s="24"/>
      <c r="B127" s="31"/>
      <c r="E127" s="2"/>
    </row>
    <row r="128" spans="1:5" ht="15" customHeight="1" x14ac:dyDescent="0.15">
      <c r="A128" s="24"/>
      <c r="B128" s="31"/>
      <c r="E128" s="2"/>
    </row>
    <row r="129" spans="1:5" ht="15" customHeight="1" x14ac:dyDescent="0.15">
      <c r="A129" s="24"/>
      <c r="B129" s="31"/>
      <c r="E129" s="2"/>
    </row>
    <row r="130" spans="1:5" ht="15" customHeight="1" x14ac:dyDescent="0.15">
      <c r="A130" s="24"/>
      <c r="B130" s="31"/>
      <c r="E130" s="2"/>
    </row>
    <row r="131" spans="1:5" ht="15" customHeight="1" x14ac:dyDescent="0.15">
      <c r="A131" s="24"/>
      <c r="B131" s="31"/>
      <c r="E131" s="2"/>
    </row>
    <row r="132" spans="1:5" ht="15" customHeight="1" x14ac:dyDescent="0.15">
      <c r="A132" s="24"/>
      <c r="B132" s="31"/>
      <c r="E132" s="2"/>
    </row>
    <row r="133" spans="1:5" ht="15" customHeight="1" x14ac:dyDescent="0.15">
      <c r="A133" s="24"/>
      <c r="B133" s="31"/>
      <c r="E133" s="2"/>
    </row>
    <row r="134" spans="1:5" ht="15" customHeight="1" x14ac:dyDescent="0.15">
      <c r="A134" s="24"/>
      <c r="B134" s="31"/>
      <c r="E134" s="2"/>
    </row>
    <row r="135" spans="1:5" ht="15" customHeight="1" x14ac:dyDescent="0.15">
      <c r="A135" s="24"/>
      <c r="B135" s="31"/>
      <c r="E135" s="2"/>
    </row>
    <row r="136" spans="1:5" ht="15" customHeight="1" x14ac:dyDescent="0.15">
      <c r="A136" s="24"/>
      <c r="B136" s="31"/>
      <c r="E136" s="2"/>
    </row>
    <row r="137" spans="1:5" ht="15" customHeight="1" x14ac:dyDescent="0.15">
      <c r="A137" s="24"/>
      <c r="B137" s="31"/>
      <c r="E137" s="2"/>
    </row>
    <row r="138" spans="1:5" ht="15" customHeight="1" x14ac:dyDescent="0.15">
      <c r="A138" s="24"/>
      <c r="B138" s="31"/>
      <c r="E138" s="2"/>
    </row>
    <row r="139" spans="1:5" ht="15" customHeight="1" x14ac:dyDescent="0.15">
      <c r="A139" s="24"/>
      <c r="B139" s="31"/>
      <c r="E139" s="2"/>
    </row>
    <row r="140" spans="1:5" ht="15" customHeight="1" x14ac:dyDescent="0.15">
      <c r="A140" s="24"/>
      <c r="B140" s="31"/>
      <c r="E140" s="2"/>
    </row>
    <row r="141" spans="1:5" ht="15" customHeight="1" x14ac:dyDescent="0.15">
      <c r="A141" s="24"/>
      <c r="B141" s="31"/>
      <c r="E141" s="2"/>
    </row>
    <row r="142" spans="1:5" ht="15" customHeight="1" x14ac:dyDescent="0.15">
      <c r="A142" s="24"/>
      <c r="B142" s="31"/>
      <c r="E142" s="2"/>
    </row>
    <row r="143" spans="1:5" ht="15" customHeight="1" x14ac:dyDescent="0.15">
      <c r="A143" s="24"/>
      <c r="B143" s="31"/>
      <c r="E143" s="2"/>
    </row>
    <row r="144" spans="1:5" ht="15" customHeight="1" x14ac:dyDescent="0.15">
      <c r="A144" s="24"/>
      <c r="B144" s="31"/>
      <c r="E144" s="2"/>
    </row>
    <row r="145" spans="1:5" ht="15" customHeight="1" x14ac:dyDescent="0.15">
      <c r="A145" s="24"/>
      <c r="B145" s="31"/>
      <c r="E145" s="2"/>
    </row>
    <row r="146" spans="1:5" ht="15" customHeight="1" x14ac:dyDescent="0.15">
      <c r="A146" s="24"/>
      <c r="B146" s="31"/>
      <c r="E146" s="2"/>
    </row>
    <row r="147" spans="1:5" ht="15" customHeight="1" x14ac:dyDescent="0.15">
      <c r="A147" s="24"/>
      <c r="B147" s="31"/>
      <c r="E147" s="2"/>
    </row>
    <row r="148" spans="1:5" ht="15" customHeight="1" x14ac:dyDescent="0.15">
      <c r="A148" s="24"/>
      <c r="B148" s="31"/>
      <c r="E148" s="2"/>
    </row>
    <row r="149" spans="1:5" ht="15" customHeight="1" x14ac:dyDescent="0.15">
      <c r="A149" s="24"/>
      <c r="B149" s="31"/>
      <c r="E149" s="2"/>
    </row>
    <row r="150" spans="1:5" ht="15" customHeight="1" x14ac:dyDescent="0.15">
      <c r="A150" s="24"/>
      <c r="B150" s="31"/>
      <c r="E150" s="2"/>
    </row>
    <row r="151" spans="1:5" ht="15" customHeight="1" x14ac:dyDescent="0.15">
      <c r="A151" s="24"/>
      <c r="B151" s="31"/>
      <c r="E151" s="2"/>
    </row>
    <row r="152" spans="1:5" ht="15" customHeight="1" x14ac:dyDescent="0.15">
      <c r="A152" s="24"/>
      <c r="B152" s="31"/>
      <c r="E152" s="2"/>
    </row>
    <row r="153" spans="1:5" ht="15" customHeight="1" x14ac:dyDescent="0.15">
      <c r="A153" s="24"/>
      <c r="B153" s="31"/>
      <c r="E153" s="2"/>
    </row>
    <row r="154" spans="1:5" ht="15" customHeight="1" x14ac:dyDescent="0.15">
      <c r="A154" s="24"/>
      <c r="B154" s="31"/>
      <c r="E154" s="2"/>
    </row>
    <row r="155" spans="1:5" ht="15" customHeight="1" x14ac:dyDescent="0.15">
      <c r="A155" s="24"/>
      <c r="B155" s="31"/>
      <c r="E155" s="2"/>
    </row>
    <row r="156" spans="1:5" ht="15" customHeight="1" x14ac:dyDescent="0.15">
      <c r="A156" s="24"/>
      <c r="B156" s="31"/>
      <c r="E156" s="2"/>
    </row>
    <row r="157" spans="1:5" ht="15" customHeight="1" x14ac:dyDescent="0.15">
      <c r="A157" s="24"/>
      <c r="B157" s="31"/>
      <c r="E157" s="2"/>
    </row>
    <row r="158" spans="1:5" ht="15" customHeight="1" x14ac:dyDescent="0.15">
      <c r="A158" s="24"/>
      <c r="B158" s="31"/>
      <c r="E158" s="2"/>
    </row>
    <row r="159" spans="1:5" ht="15" customHeight="1" x14ac:dyDescent="0.15">
      <c r="A159" s="24"/>
      <c r="B159" s="31"/>
      <c r="E159" s="2"/>
    </row>
    <row r="160" spans="1:5" ht="15" customHeight="1" x14ac:dyDescent="0.15">
      <c r="A160" s="24"/>
      <c r="B160" s="31"/>
      <c r="E160" s="2"/>
    </row>
    <row r="161" spans="1:5" ht="15" customHeight="1" x14ac:dyDescent="0.15">
      <c r="A161" s="24"/>
      <c r="B161" s="31"/>
      <c r="E161" s="2"/>
    </row>
    <row r="162" spans="1:5" ht="15" customHeight="1" x14ac:dyDescent="0.15">
      <c r="A162" s="24"/>
      <c r="B162" s="31"/>
      <c r="E162" s="2"/>
    </row>
    <row r="163" spans="1:5" ht="15" customHeight="1" x14ac:dyDescent="0.15">
      <c r="A163" s="24"/>
      <c r="B163" s="31"/>
      <c r="E163" s="2"/>
    </row>
    <row r="164" spans="1:5" ht="15" customHeight="1" x14ac:dyDescent="0.15">
      <c r="A164" s="24"/>
      <c r="B164" s="31"/>
      <c r="E164" s="2"/>
    </row>
    <row r="165" spans="1:5" ht="15" customHeight="1" x14ac:dyDescent="0.15">
      <c r="A165" s="24"/>
      <c r="B165" s="31"/>
      <c r="E165" s="2"/>
    </row>
    <row r="166" spans="1:5" ht="15" customHeight="1" x14ac:dyDescent="0.15">
      <c r="A166" s="24"/>
      <c r="B166" s="31"/>
      <c r="E166" s="2"/>
    </row>
    <row r="167" spans="1:5" ht="15" customHeight="1" x14ac:dyDescent="0.15">
      <c r="A167" s="24"/>
      <c r="B167" s="31"/>
      <c r="E167" s="2"/>
    </row>
    <row r="168" spans="1:5" ht="15" customHeight="1" x14ac:dyDescent="0.15">
      <c r="A168" s="24"/>
      <c r="B168" s="31"/>
      <c r="E168" s="2"/>
    </row>
    <row r="169" spans="1:5" ht="15" customHeight="1" x14ac:dyDescent="0.15">
      <c r="A169" s="24"/>
      <c r="B169" s="31"/>
      <c r="E169" s="2"/>
    </row>
    <row r="170" spans="1:5" ht="15" customHeight="1" x14ac:dyDescent="0.15">
      <c r="A170" s="24"/>
      <c r="B170" s="31"/>
      <c r="E170" s="2"/>
    </row>
    <row r="171" spans="1:5" ht="15" customHeight="1" x14ac:dyDescent="0.15">
      <c r="A171" s="24"/>
      <c r="B171" s="31"/>
      <c r="E171" s="2"/>
    </row>
    <row r="172" spans="1:5" ht="15" customHeight="1" x14ac:dyDescent="0.15">
      <c r="A172" s="24"/>
      <c r="B172" s="31"/>
      <c r="E172" s="2"/>
    </row>
    <row r="173" spans="1:5" ht="15" customHeight="1" x14ac:dyDescent="0.15">
      <c r="A173" s="24"/>
      <c r="B173" s="31"/>
      <c r="E173" s="2"/>
    </row>
    <row r="174" spans="1:5" ht="15" customHeight="1" x14ac:dyDescent="0.15">
      <c r="A174" s="24"/>
      <c r="B174" s="31"/>
      <c r="E174" s="2"/>
    </row>
    <row r="175" spans="1:5" ht="15" customHeight="1" x14ac:dyDescent="0.15">
      <c r="A175" s="24"/>
      <c r="B175" s="31"/>
      <c r="E175" s="2"/>
    </row>
    <row r="176" spans="1:5" ht="15" customHeight="1" x14ac:dyDescent="0.15">
      <c r="A176" s="24"/>
      <c r="B176" s="31"/>
      <c r="E176" s="2"/>
    </row>
    <row r="177" spans="1:5" ht="15" customHeight="1" x14ac:dyDescent="0.15">
      <c r="A177" s="24"/>
      <c r="B177" s="31"/>
      <c r="E177" s="2"/>
    </row>
    <row r="178" spans="1:5" ht="15" customHeight="1" x14ac:dyDescent="0.15">
      <c r="A178" s="24"/>
      <c r="B178" s="31"/>
      <c r="E178" s="2"/>
    </row>
    <row r="179" spans="1:5" ht="15" customHeight="1" x14ac:dyDescent="0.15">
      <c r="A179" s="24"/>
      <c r="B179" s="31"/>
      <c r="E179" s="2"/>
    </row>
    <row r="180" spans="1:5" ht="15" customHeight="1" x14ac:dyDescent="0.15">
      <c r="A180" s="24"/>
      <c r="B180" s="31"/>
      <c r="E180" s="2"/>
    </row>
    <row r="181" spans="1:5" ht="15" customHeight="1" x14ac:dyDescent="0.15">
      <c r="A181" s="24"/>
      <c r="B181" s="31"/>
      <c r="E181" s="2"/>
    </row>
    <row r="182" spans="1:5" ht="15" customHeight="1" x14ac:dyDescent="0.15">
      <c r="A182" s="24"/>
      <c r="B182" s="31"/>
      <c r="E182" s="2"/>
    </row>
    <row r="183" spans="1:5" ht="15" customHeight="1" x14ac:dyDescent="0.15">
      <c r="A183" s="24"/>
      <c r="B183" s="31"/>
      <c r="E183" s="2"/>
    </row>
    <row r="184" spans="1:5" ht="15" customHeight="1" x14ac:dyDescent="0.15">
      <c r="A184" s="24"/>
      <c r="B184" s="31"/>
      <c r="E184" s="2"/>
    </row>
    <row r="185" spans="1:5" ht="15" customHeight="1" x14ac:dyDescent="0.15">
      <c r="A185" s="24"/>
      <c r="B185" s="31"/>
      <c r="E185" s="2"/>
    </row>
    <row r="186" spans="1:5" ht="15" customHeight="1" x14ac:dyDescent="0.15">
      <c r="A186" s="24"/>
      <c r="B186" s="31"/>
      <c r="E186" s="2"/>
    </row>
    <row r="187" spans="1:5" ht="15" customHeight="1" x14ac:dyDescent="0.15">
      <c r="A187" s="24"/>
      <c r="B187" s="31"/>
      <c r="E187" s="2"/>
    </row>
    <row r="188" spans="1:5" ht="15" customHeight="1" x14ac:dyDescent="0.15">
      <c r="A188" s="24"/>
      <c r="B188" s="31"/>
      <c r="E188" s="2"/>
    </row>
    <row r="189" spans="1:5" ht="15" customHeight="1" x14ac:dyDescent="0.15">
      <c r="A189" s="24"/>
      <c r="B189" s="31"/>
      <c r="E189" s="2"/>
    </row>
    <row r="190" spans="1:5" ht="15" customHeight="1" x14ac:dyDescent="0.15">
      <c r="A190" s="24"/>
      <c r="B190" s="31"/>
      <c r="E190" s="2"/>
    </row>
    <row r="191" spans="1:5" ht="15" customHeight="1" x14ac:dyDescent="0.15">
      <c r="A191" s="24"/>
      <c r="B191" s="31"/>
      <c r="E191" s="2"/>
    </row>
    <row r="192" spans="1:5" ht="15" customHeight="1" x14ac:dyDescent="0.15">
      <c r="A192" s="24"/>
      <c r="B192" s="31"/>
      <c r="E192" s="2"/>
    </row>
    <row r="193" spans="1:5" ht="15" customHeight="1" x14ac:dyDescent="0.15">
      <c r="A193" s="24"/>
      <c r="B193" s="31"/>
      <c r="E193" s="2"/>
    </row>
    <row r="194" spans="1:5" ht="15" customHeight="1" x14ac:dyDescent="0.15">
      <c r="A194" s="24"/>
      <c r="B194" s="31"/>
      <c r="E194" s="2"/>
    </row>
    <row r="195" spans="1:5" ht="15" customHeight="1" x14ac:dyDescent="0.15">
      <c r="A195" s="24"/>
      <c r="B195" s="31"/>
      <c r="E195" s="2"/>
    </row>
    <row r="196" spans="1:5" ht="15" customHeight="1" x14ac:dyDescent="0.15">
      <c r="A196" s="24"/>
      <c r="B196" s="31"/>
      <c r="E196" s="2"/>
    </row>
    <row r="197" spans="1:5" ht="15" customHeight="1" x14ac:dyDescent="0.15">
      <c r="A197" s="24"/>
      <c r="B197" s="31"/>
      <c r="E197" s="2"/>
    </row>
    <row r="198" spans="1:5" ht="15" customHeight="1" x14ac:dyDescent="0.15">
      <c r="A198" s="24"/>
      <c r="B198" s="31"/>
      <c r="E198" s="2"/>
    </row>
    <row r="199" spans="1:5" ht="15" customHeight="1" x14ac:dyDescent="0.15">
      <c r="A199" s="24"/>
      <c r="B199" s="31"/>
      <c r="E199" s="2"/>
    </row>
    <row r="200" spans="1:5" ht="15" customHeight="1" x14ac:dyDescent="0.15">
      <c r="A200" s="24"/>
      <c r="B200" s="31"/>
      <c r="E200" s="2"/>
    </row>
    <row r="201" spans="1:5" ht="15" customHeight="1" x14ac:dyDescent="0.15">
      <c r="A201" s="24"/>
      <c r="B201" s="31"/>
      <c r="E201" s="2"/>
    </row>
    <row r="202" spans="1:5" ht="15" customHeight="1" x14ac:dyDescent="0.15">
      <c r="A202" s="24"/>
      <c r="B202" s="31"/>
      <c r="E202" s="2"/>
    </row>
    <row r="203" spans="1:5" ht="15" customHeight="1" x14ac:dyDescent="0.15">
      <c r="A203" s="24"/>
      <c r="B203" s="31"/>
      <c r="E203" s="2"/>
    </row>
    <row r="204" spans="1:5" ht="15" customHeight="1" x14ac:dyDescent="0.15">
      <c r="A204" s="24"/>
      <c r="B204" s="31"/>
      <c r="E204" s="2"/>
    </row>
    <row r="205" spans="1:5" ht="15" customHeight="1" x14ac:dyDescent="0.15">
      <c r="A205" s="24"/>
      <c r="B205" s="31"/>
      <c r="E205" s="2"/>
    </row>
    <row r="206" spans="1:5" ht="15" customHeight="1" x14ac:dyDescent="0.15">
      <c r="A206" s="24"/>
      <c r="B206" s="31"/>
      <c r="E206" s="2"/>
    </row>
    <row r="207" spans="1:5" ht="15" customHeight="1" x14ac:dyDescent="0.15">
      <c r="A207" s="24"/>
      <c r="B207" s="31"/>
      <c r="E207" s="2"/>
    </row>
    <row r="208" spans="1:5" ht="15" customHeight="1" x14ac:dyDescent="0.15">
      <c r="A208" s="24"/>
      <c r="B208" s="31"/>
      <c r="E208" s="2"/>
    </row>
    <row r="209" spans="1:5" ht="15" customHeight="1" x14ac:dyDescent="0.15">
      <c r="A209" s="24"/>
      <c r="B209" s="31"/>
      <c r="E209" s="2"/>
    </row>
    <row r="210" spans="1:5" ht="15" customHeight="1" x14ac:dyDescent="0.15">
      <c r="A210" s="24"/>
      <c r="B210" s="31"/>
      <c r="E210" s="2"/>
    </row>
    <row r="211" spans="1:5" ht="15" customHeight="1" x14ac:dyDescent="0.15">
      <c r="A211" s="24"/>
      <c r="B211" s="31"/>
      <c r="E211" s="2"/>
    </row>
    <row r="212" spans="1:5" ht="15" customHeight="1" x14ac:dyDescent="0.15">
      <c r="A212" s="24"/>
      <c r="B212" s="31"/>
      <c r="E212" s="2"/>
    </row>
    <row r="213" spans="1:5" ht="15" customHeight="1" x14ac:dyDescent="0.15">
      <c r="A213" s="24"/>
      <c r="B213" s="31"/>
      <c r="E213" s="2"/>
    </row>
    <row r="214" spans="1:5" ht="15" customHeight="1" x14ac:dyDescent="0.15">
      <c r="A214" s="24"/>
      <c r="B214" s="31"/>
      <c r="E214" s="2"/>
    </row>
    <row r="215" spans="1:5" ht="15" customHeight="1" x14ac:dyDescent="0.15">
      <c r="A215" s="24"/>
      <c r="B215" s="31"/>
      <c r="E215" s="2"/>
    </row>
    <row r="216" spans="1:5" ht="15" customHeight="1" x14ac:dyDescent="0.15">
      <c r="A216" s="24"/>
      <c r="B216" s="31"/>
      <c r="E216" s="2"/>
    </row>
    <row r="217" spans="1:5" ht="15" customHeight="1" x14ac:dyDescent="0.15">
      <c r="A217" s="24"/>
      <c r="B217" s="31"/>
      <c r="E217" s="2"/>
    </row>
    <row r="218" spans="1:5" ht="15" customHeight="1" x14ac:dyDescent="0.15">
      <c r="A218" s="24"/>
      <c r="B218" s="31"/>
      <c r="E218" s="2"/>
    </row>
    <row r="219" spans="1:5" ht="15" customHeight="1" x14ac:dyDescent="0.15">
      <c r="A219" s="24"/>
      <c r="B219" s="31"/>
      <c r="E219" s="2"/>
    </row>
    <row r="220" spans="1:5" ht="15" customHeight="1" x14ac:dyDescent="0.15">
      <c r="A220" s="24"/>
      <c r="B220" s="31"/>
      <c r="E220" s="2"/>
    </row>
    <row r="221" spans="1:5" ht="15" customHeight="1" x14ac:dyDescent="0.15">
      <c r="A221" s="24"/>
      <c r="B221" s="31"/>
      <c r="E221" s="2"/>
    </row>
    <row r="222" spans="1:5" ht="15" customHeight="1" x14ac:dyDescent="0.15">
      <c r="A222" s="24"/>
      <c r="B222" s="31"/>
      <c r="E222" s="2"/>
    </row>
    <row r="223" spans="1:5" ht="15" customHeight="1" x14ac:dyDescent="0.15">
      <c r="A223" s="24"/>
      <c r="B223" s="31"/>
      <c r="E223" s="2"/>
    </row>
    <row r="224" spans="1:5" ht="15" customHeight="1" x14ac:dyDescent="0.15">
      <c r="A224" s="24"/>
      <c r="B224" s="31"/>
      <c r="E224" s="2"/>
    </row>
    <row r="225" spans="1:5" ht="15" customHeight="1" x14ac:dyDescent="0.15">
      <c r="A225" s="24"/>
      <c r="B225" s="31"/>
      <c r="E225" s="2"/>
    </row>
    <row r="226" spans="1:5" ht="15" customHeight="1" x14ac:dyDescent="0.15">
      <c r="A226" s="24"/>
      <c r="B226" s="31"/>
      <c r="E226" s="2"/>
    </row>
    <row r="227" spans="1:5" ht="15" customHeight="1" x14ac:dyDescent="0.15">
      <c r="A227" s="24"/>
      <c r="B227" s="31"/>
      <c r="E227" s="2"/>
    </row>
    <row r="228" spans="1:5" ht="15" customHeight="1" x14ac:dyDescent="0.15">
      <c r="A228" s="24"/>
      <c r="B228" s="31"/>
      <c r="E228" s="2"/>
    </row>
    <row r="229" spans="1:5" ht="15" customHeight="1" x14ac:dyDescent="0.15">
      <c r="A229" s="24"/>
      <c r="B229" s="31"/>
      <c r="E229" s="2"/>
    </row>
    <row r="230" spans="1:5" ht="15" customHeight="1" x14ac:dyDescent="0.15">
      <c r="A230" s="24"/>
      <c r="B230" s="31"/>
      <c r="E230" s="2"/>
    </row>
    <row r="231" spans="1:5" ht="15" customHeight="1" x14ac:dyDescent="0.15">
      <c r="A231" s="24"/>
      <c r="B231" s="31"/>
      <c r="E231" s="2"/>
    </row>
    <row r="232" spans="1:5" ht="15" customHeight="1" x14ac:dyDescent="0.15">
      <c r="A232" s="24"/>
      <c r="B232" s="31"/>
      <c r="E232" s="2"/>
    </row>
    <row r="233" spans="1:5" ht="15" customHeight="1" x14ac:dyDescent="0.15">
      <c r="A233" s="24"/>
      <c r="B233" s="31"/>
      <c r="E233" s="2"/>
    </row>
    <row r="234" spans="1:5" ht="15" customHeight="1" x14ac:dyDescent="0.15">
      <c r="A234" s="24"/>
      <c r="B234" s="31"/>
      <c r="E234" s="2"/>
    </row>
    <row r="235" spans="1:5" ht="15" customHeight="1" x14ac:dyDescent="0.15">
      <c r="A235" s="24"/>
      <c r="B235" s="31"/>
      <c r="E235" s="2"/>
    </row>
    <row r="236" spans="1:5" ht="15" customHeight="1" x14ac:dyDescent="0.15">
      <c r="A236" s="24"/>
      <c r="B236" s="31"/>
      <c r="E236" s="2"/>
    </row>
    <row r="237" spans="1:5" ht="15" customHeight="1" x14ac:dyDescent="0.15">
      <c r="A237" s="24"/>
      <c r="B237" s="31"/>
      <c r="E237" s="2"/>
    </row>
    <row r="238" spans="1:5" ht="15" customHeight="1" x14ac:dyDescent="0.15">
      <c r="A238" s="24"/>
      <c r="B238" s="31"/>
      <c r="E238" s="2"/>
    </row>
    <row r="239" spans="1:5" ht="15" customHeight="1" x14ac:dyDescent="0.15">
      <c r="A239" s="24"/>
      <c r="B239" s="31"/>
      <c r="E239" s="2"/>
    </row>
    <row r="240" spans="1:5" ht="15" customHeight="1" x14ac:dyDescent="0.15">
      <c r="A240" s="24"/>
      <c r="B240" s="31"/>
      <c r="E240" s="2"/>
    </row>
    <row r="241" spans="1:5" ht="15" customHeight="1" x14ac:dyDescent="0.15">
      <c r="A241" s="24"/>
      <c r="B241" s="31"/>
      <c r="E241" s="2"/>
    </row>
    <row r="242" spans="1:5" ht="15" customHeight="1" x14ac:dyDescent="0.15">
      <c r="A242" s="24"/>
      <c r="B242" s="31"/>
      <c r="E242" s="2"/>
    </row>
    <row r="243" spans="1:5" ht="15" customHeight="1" x14ac:dyDescent="0.15">
      <c r="A243" s="24"/>
      <c r="B243" s="31"/>
      <c r="E243" s="2"/>
    </row>
    <row r="244" spans="1:5" ht="15" customHeight="1" x14ac:dyDescent="0.15">
      <c r="A244" s="24"/>
      <c r="B244" s="31"/>
      <c r="E244" s="2"/>
    </row>
    <row r="245" spans="1:5" ht="15" customHeight="1" x14ac:dyDescent="0.15">
      <c r="A245" s="24"/>
      <c r="B245" s="31"/>
      <c r="E245" s="2"/>
    </row>
    <row r="246" spans="1:5" ht="15" customHeight="1" x14ac:dyDescent="0.15">
      <c r="A246" s="24"/>
      <c r="B246" s="31"/>
      <c r="E246" s="2"/>
    </row>
    <row r="247" spans="1:5" ht="15" customHeight="1" x14ac:dyDescent="0.15">
      <c r="A247" s="24"/>
      <c r="B247" s="31"/>
      <c r="E247" s="2"/>
    </row>
    <row r="248" spans="1:5" ht="15" customHeight="1" x14ac:dyDescent="0.15">
      <c r="A248" s="24"/>
      <c r="B248" s="31"/>
      <c r="E248" s="2"/>
    </row>
    <row r="249" spans="1:5" ht="15" customHeight="1" x14ac:dyDescent="0.15">
      <c r="A249" s="24"/>
      <c r="B249" s="31"/>
      <c r="E249" s="2"/>
    </row>
    <row r="250" spans="1:5" ht="15" customHeight="1" x14ac:dyDescent="0.15">
      <c r="A250" s="24"/>
      <c r="B250" s="31"/>
      <c r="E250" s="2"/>
    </row>
    <row r="251" spans="1:5" ht="15" customHeight="1" x14ac:dyDescent="0.15">
      <c r="A251" s="24"/>
      <c r="B251" s="31"/>
      <c r="E251" s="2"/>
    </row>
    <row r="252" spans="1:5" ht="15" customHeight="1" x14ac:dyDescent="0.15">
      <c r="A252" s="24"/>
      <c r="B252" s="31"/>
      <c r="E252" s="2"/>
    </row>
    <row r="253" spans="1:5" ht="15" customHeight="1" x14ac:dyDescent="0.15">
      <c r="A253" s="24"/>
      <c r="B253" s="31"/>
      <c r="E253" s="2"/>
    </row>
    <row r="254" spans="1:5" ht="15" customHeight="1" x14ac:dyDescent="0.15">
      <c r="A254" s="24"/>
      <c r="B254" s="31"/>
      <c r="E254" s="2"/>
    </row>
    <row r="255" spans="1:5" ht="15" customHeight="1" x14ac:dyDescent="0.15">
      <c r="A255" s="24"/>
      <c r="B255" s="31"/>
      <c r="E255" s="2"/>
    </row>
    <row r="256" spans="1:5" ht="15" customHeight="1" x14ac:dyDescent="0.15">
      <c r="A256" s="24"/>
      <c r="B256" s="31"/>
      <c r="E256" s="2"/>
    </row>
    <row r="257" spans="1:5" ht="15" customHeight="1" x14ac:dyDescent="0.15">
      <c r="A257" s="24"/>
      <c r="B257" s="31"/>
      <c r="E257" s="2"/>
    </row>
    <row r="258" spans="1:5" ht="15" customHeight="1" x14ac:dyDescent="0.15">
      <c r="A258" s="24"/>
      <c r="B258" s="31"/>
      <c r="E258" s="2"/>
    </row>
    <row r="259" spans="1:5" ht="15" customHeight="1" x14ac:dyDescent="0.15">
      <c r="A259" s="24"/>
      <c r="B259" s="31"/>
      <c r="E259" s="2"/>
    </row>
    <row r="260" spans="1:5" ht="15" customHeight="1" x14ac:dyDescent="0.15">
      <c r="A260" s="24"/>
      <c r="B260" s="31"/>
      <c r="E260" s="2"/>
    </row>
    <row r="261" spans="1:5" ht="15" customHeight="1" x14ac:dyDescent="0.15">
      <c r="A261" s="24"/>
      <c r="B261" s="31"/>
      <c r="E261" s="2"/>
    </row>
    <row r="262" spans="1:5" ht="15" customHeight="1" x14ac:dyDescent="0.15">
      <c r="A262" s="24"/>
      <c r="B262" s="31"/>
      <c r="E262" s="2"/>
    </row>
    <row r="263" spans="1:5" ht="15" customHeight="1" x14ac:dyDescent="0.15">
      <c r="A263" s="24"/>
      <c r="B263" s="31"/>
      <c r="E263" s="2"/>
    </row>
    <row r="264" spans="1:5" ht="15" customHeight="1" x14ac:dyDescent="0.15">
      <c r="A264" s="24"/>
      <c r="B264" s="31"/>
      <c r="E264" s="2"/>
    </row>
    <row r="265" spans="1:5" ht="15" customHeight="1" x14ac:dyDescent="0.15">
      <c r="A265" s="24"/>
      <c r="B265" s="31"/>
      <c r="E265" s="2"/>
    </row>
    <row r="266" spans="1:5" ht="15" customHeight="1" x14ac:dyDescent="0.15">
      <c r="A266" s="24"/>
      <c r="B266" s="31"/>
      <c r="E266" s="2"/>
    </row>
    <row r="267" spans="1:5" ht="15" customHeight="1" x14ac:dyDescent="0.15">
      <c r="A267" s="24"/>
      <c r="B267" s="31"/>
      <c r="E267" s="2"/>
    </row>
    <row r="268" spans="1:5" ht="15" customHeight="1" x14ac:dyDescent="0.15">
      <c r="A268" s="24"/>
      <c r="B268" s="31"/>
      <c r="E268" s="2"/>
    </row>
    <row r="269" spans="1:5" ht="15" customHeight="1" x14ac:dyDescent="0.15">
      <c r="A269" s="24"/>
      <c r="B269" s="31"/>
      <c r="E269" s="2"/>
    </row>
    <row r="270" spans="1:5" ht="15" customHeight="1" x14ac:dyDescent="0.15">
      <c r="A270" s="24"/>
      <c r="B270" s="31"/>
      <c r="E270" s="2"/>
    </row>
    <row r="271" spans="1:5" ht="15" customHeight="1" x14ac:dyDescent="0.15">
      <c r="A271" s="24"/>
      <c r="B271" s="31"/>
      <c r="E271" s="2"/>
    </row>
    <row r="272" spans="1:5" ht="15" customHeight="1" x14ac:dyDescent="0.15">
      <c r="A272" s="24"/>
      <c r="B272" s="31"/>
      <c r="E272" s="2"/>
    </row>
    <row r="273" spans="1:5" ht="15" customHeight="1" x14ac:dyDescent="0.15">
      <c r="A273" s="24"/>
      <c r="B273" s="31"/>
      <c r="E273" s="2"/>
    </row>
    <row r="274" spans="1:5" ht="15" customHeight="1" x14ac:dyDescent="0.15">
      <c r="A274" s="24"/>
      <c r="B274" s="31"/>
      <c r="E274" s="2"/>
    </row>
    <row r="275" spans="1:5" ht="15" customHeight="1" x14ac:dyDescent="0.15">
      <c r="A275" s="24"/>
      <c r="B275" s="31"/>
      <c r="E275" s="2"/>
    </row>
    <row r="276" spans="1:5" ht="15" customHeight="1" x14ac:dyDescent="0.15">
      <c r="A276" s="24"/>
      <c r="B276" s="31"/>
      <c r="E276" s="2"/>
    </row>
    <row r="277" spans="1:5" ht="15" customHeight="1" x14ac:dyDescent="0.15">
      <c r="A277" s="24"/>
      <c r="B277" s="31"/>
      <c r="E277" s="2"/>
    </row>
    <row r="278" spans="1:5" ht="15" customHeight="1" x14ac:dyDescent="0.15">
      <c r="A278" s="24"/>
      <c r="B278" s="31"/>
      <c r="E278" s="2"/>
    </row>
    <row r="279" spans="1:5" ht="15" customHeight="1" x14ac:dyDescent="0.15">
      <c r="A279" s="24"/>
      <c r="B279" s="31"/>
      <c r="E279" s="2"/>
    </row>
    <row r="280" spans="1:5" ht="15" customHeight="1" x14ac:dyDescent="0.15">
      <c r="A280" s="24"/>
      <c r="B280" s="31"/>
      <c r="E280" s="2"/>
    </row>
    <row r="281" spans="1:5" ht="15" customHeight="1" x14ac:dyDescent="0.15">
      <c r="A281" s="24"/>
      <c r="B281" s="31"/>
      <c r="E281" s="2"/>
    </row>
    <row r="282" spans="1:5" ht="15" customHeight="1" x14ac:dyDescent="0.15">
      <c r="A282" s="24"/>
      <c r="B282" s="31"/>
      <c r="E282" s="2"/>
    </row>
    <row r="283" spans="1:5" ht="15" customHeight="1" x14ac:dyDescent="0.15">
      <c r="A283" s="24"/>
      <c r="B283" s="31"/>
      <c r="E283" s="2"/>
    </row>
    <row r="284" spans="1:5" ht="15" customHeight="1" x14ac:dyDescent="0.15">
      <c r="A284" s="24"/>
      <c r="B284" s="31"/>
      <c r="E284" s="2"/>
    </row>
    <row r="285" spans="1:5" ht="15" customHeight="1" x14ac:dyDescent="0.15">
      <c r="A285" s="24"/>
      <c r="B285" s="31"/>
      <c r="E285" s="2"/>
    </row>
    <row r="286" spans="1:5" ht="15" customHeight="1" x14ac:dyDescent="0.15">
      <c r="A286" s="24"/>
      <c r="B286" s="31"/>
      <c r="E286" s="2"/>
    </row>
    <row r="287" spans="1:5" ht="15" customHeight="1" x14ac:dyDescent="0.15">
      <c r="A287" s="24"/>
      <c r="B287" s="31"/>
      <c r="E287" s="2"/>
    </row>
    <row r="288" spans="1:5" ht="15" customHeight="1" x14ac:dyDescent="0.15">
      <c r="A288" s="24"/>
      <c r="B288" s="31"/>
      <c r="E288" s="2"/>
    </row>
    <row r="289" spans="1:5" ht="15" customHeight="1" x14ac:dyDescent="0.15">
      <c r="A289" s="24"/>
      <c r="B289" s="31"/>
      <c r="E289" s="2"/>
    </row>
    <row r="290" spans="1:5" ht="15" customHeight="1" x14ac:dyDescent="0.15">
      <c r="A290" s="24"/>
      <c r="B290" s="31"/>
      <c r="E290" s="2"/>
    </row>
    <row r="291" spans="1:5" ht="15" customHeight="1" x14ac:dyDescent="0.15">
      <c r="A291" s="24"/>
      <c r="B291" s="31"/>
      <c r="E291" s="2"/>
    </row>
    <row r="292" spans="1:5" ht="15" customHeight="1" x14ac:dyDescent="0.15">
      <c r="A292" s="24"/>
      <c r="B292" s="31"/>
      <c r="E292" s="2"/>
    </row>
    <row r="293" spans="1:5" ht="15" customHeight="1" x14ac:dyDescent="0.15">
      <c r="A293" s="24"/>
      <c r="B293" s="31"/>
      <c r="E293" s="2"/>
    </row>
    <row r="294" spans="1:5" ht="15" customHeight="1" x14ac:dyDescent="0.15">
      <c r="A294" s="24"/>
      <c r="B294" s="31"/>
      <c r="E294" s="2"/>
    </row>
    <row r="295" spans="1:5" ht="15" customHeight="1" x14ac:dyDescent="0.15">
      <c r="A295" s="24"/>
      <c r="B295" s="31"/>
      <c r="E295" s="2"/>
    </row>
    <row r="296" spans="1:5" ht="15" customHeight="1" x14ac:dyDescent="0.15">
      <c r="A296" s="24"/>
      <c r="B296" s="31"/>
      <c r="E296" s="2"/>
    </row>
    <row r="297" spans="1:5" ht="15" customHeight="1" x14ac:dyDescent="0.15">
      <c r="A297" s="24"/>
      <c r="B297" s="31"/>
      <c r="E297" s="2"/>
    </row>
    <row r="298" spans="1:5" ht="15" customHeight="1" x14ac:dyDescent="0.15">
      <c r="A298" s="24"/>
      <c r="B298" s="31"/>
      <c r="E298" s="2"/>
    </row>
    <row r="299" spans="1:5" ht="15" customHeight="1" x14ac:dyDescent="0.15">
      <c r="A299" s="24"/>
      <c r="B299" s="31"/>
      <c r="E299" s="2"/>
    </row>
    <row r="300" spans="1:5" ht="15" customHeight="1" x14ac:dyDescent="0.15">
      <c r="A300" s="24"/>
      <c r="B300" s="31"/>
      <c r="E300" s="2"/>
    </row>
    <row r="301" spans="1:5" ht="15" customHeight="1" x14ac:dyDescent="0.15">
      <c r="A301" s="24"/>
      <c r="B301" s="31"/>
      <c r="E301" s="2"/>
    </row>
    <row r="302" spans="1:5" ht="15" customHeight="1" x14ac:dyDescent="0.15">
      <c r="A302" s="24"/>
      <c r="B302" s="31"/>
      <c r="E302" s="2"/>
    </row>
    <row r="303" spans="1:5" ht="15" customHeight="1" x14ac:dyDescent="0.15">
      <c r="A303" s="24"/>
      <c r="B303" s="31"/>
      <c r="E303" s="2"/>
    </row>
    <row r="304" spans="1:5" ht="15" customHeight="1" x14ac:dyDescent="0.15">
      <c r="A304" s="24"/>
      <c r="B304" s="31"/>
      <c r="E304" s="2"/>
    </row>
    <row r="305" spans="1:5" ht="15" customHeight="1" x14ac:dyDescent="0.15">
      <c r="A305" s="24"/>
      <c r="B305" s="31"/>
      <c r="E305" s="2"/>
    </row>
    <row r="306" spans="1:5" ht="15" customHeight="1" x14ac:dyDescent="0.15">
      <c r="A306" s="24"/>
      <c r="B306" s="31"/>
      <c r="E306" s="2"/>
    </row>
    <row r="307" spans="1:5" ht="15" customHeight="1" x14ac:dyDescent="0.15">
      <c r="A307" s="24"/>
      <c r="B307" s="31"/>
      <c r="E307" s="2"/>
    </row>
    <row r="308" spans="1:5" ht="15" customHeight="1" x14ac:dyDescent="0.15">
      <c r="A308" s="24"/>
      <c r="B308" s="31"/>
      <c r="E308" s="2"/>
    </row>
    <row r="309" spans="1:5" ht="15" customHeight="1" x14ac:dyDescent="0.15">
      <c r="A309" s="24"/>
      <c r="B309" s="31"/>
      <c r="E309" s="2"/>
    </row>
    <row r="310" spans="1:5" ht="15" customHeight="1" x14ac:dyDescent="0.15">
      <c r="A310" s="24"/>
      <c r="B310" s="31"/>
      <c r="E310" s="2"/>
    </row>
    <row r="311" spans="1:5" ht="15" customHeight="1" x14ac:dyDescent="0.15">
      <c r="A311" s="24"/>
      <c r="B311" s="31"/>
      <c r="E311" s="2"/>
    </row>
    <row r="312" spans="1:5" ht="15" customHeight="1" x14ac:dyDescent="0.15">
      <c r="A312" s="24"/>
      <c r="B312" s="31"/>
      <c r="E312" s="2"/>
    </row>
    <row r="313" spans="1:5" ht="15" customHeight="1" x14ac:dyDescent="0.15">
      <c r="A313" s="24"/>
      <c r="B313" s="31"/>
      <c r="E313" s="2"/>
    </row>
    <row r="314" spans="1:5" ht="15" customHeight="1" x14ac:dyDescent="0.15">
      <c r="A314" s="24"/>
      <c r="B314" s="31"/>
      <c r="E314" s="2"/>
    </row>
    <row r="315" spans="1:5" ht="15" customHeight="1" x14ac:dyDescent="0.15">
      <c r="A315" s="24"/>
      <c r="B315" s="31"/>
      <c r="E315" s="2"/>
    </row>
    <row r="316" spans="1:5" ht="15" customHeight="1" x14ac:dyDescent="0.15">
      <c r="A316" s="24"/>
      <c r="B316" s="31"/>
      <c r="E316" s="2"/>
    </row>
    <row r="317" spans="1:5" ht="15" customHeight="1" x14ac:dyDescent="0.15">
      <c r="A317" s="24"/>
      <c r="B317" s="31"/>
      <c r="E317" s="2"/>
    </row>
    <row r="318" spans="1:5" ht="15" customHeight="1" x14ac:dyDescent="0.15">
      <c r="A318" s="24"/>
      <c r="B318" s="31"/>
      <c r="E318" s="2"/>
    </row>
    <row r="319" spans="1:5" ht="15" customHeight="1" x14ac:dyDescent="0.15">
      <c r="A319" s="24"/>
      <c r="B319" s="31"/>
      <c r="E319" s="2"/>
    </row>
    <row r="320" spans="1:5" ht="15" customHeight="1" x14ac:dyDescent="0.15">
      <c r="A320" s="24"/>
      <c r="B320" s="31"/>
      <c r="E320" s="2"/>
    </row>
    <row r="321" spans="1:5" ht="15" customHeight="1" x14ac:dyDescent="0.15">
      <c r="A321" s="24"/>
      <c r="B321" s="31"/>
      <c r="E321" s="2"/>
    </row>
    <row r="322" spans="1:5" ht="15" customHeight="1" x14ac:dyDescent="0.15">
      <c r="A322" s="24"/>
      <c r="B322" s="31"/>
      <c r="E322" s="2"/>
    </row>
    <row r="323" spans="1:5" ht="15" customHeight="1" x14ac:dyDescent="0.15">
      <c r="A323" s="24"/>
      <c r="B323" s="31"/>
      <c r="E323" s="2"/>
    </row>
    <row r="324" spans="1:5" ht="15" customHeight="1" x14ac:dyDescent="0.15">
      <c r="A324" s="24"/>
      <c r="B324" s="31"/>
      <c r="E324" s="2"/>
    </row>
    <row r="325" spans="1:5" ht="15" customHeight="1" x14ac:dyDescent="0.15">
      <c r="A325" s="24"/>
      <c r="B325" s="31"/>
      <c r="E325" s="2"/>
    </row>
    <row r="326" spans="1:5" ht="15" customHeight="1" x14ac:dyDescent="0.15">
      <c r="A326" s="24"/>
      <c r="B326" s="31"/>
      <c r="E326" s="2"/>
    </row>
    <row r="327" spans="1:5" ht="15" customHeight="1" x14ac:dyDescent="0.15">
      <c r="A327" s="24"/>
      <c r="B327" s="31"/>
      <c r="E327" s="2"/>
    </row>
    <row r="328" spans="1:5" ht="15" customHeight="1" x14ac:dyDescent="0.15">
      <c r="A328" s="24"/>
      <c r="B328" s="31"/>
      <c r="E328" s="2"/>
    </row>
    <row r="329" spans="1:5" ht="15" customHeight="1" x14ac:dyDescent="0.15">
      <c r="A329" s="24"/>
      <c r="B329" s="31"/>
      <c r="E329" s="2"/>
    </row>
    <row r="330" spans="1:5" ht="15" customHeight="1" x14ac:dyDescent="0.15">
      <c r="A330" s="24"/>
      <c r="B330" s="31"/>
      <c r="E330" s="2"/>
    </row>
    <row r="331" spans="1:5" ht="15" customHeight="1" x14ac:dyDescent="0.15">
      <c r="A331" s="24"/>
      <c r="B331" s="31"/>
      <c r="E331" s="2"/>
    </row>
    <row r="332" spans="1:5" ht="15" customHeight="1" x14ac:dyDescent="0.15">
      <c r="A332" s="24"/>
      <c r="B332" s="31"/>
      <c r="E332" s="2"/>
    </row>
    <row r="333" spans="1:5" ht="15" customHeight="1" x14ac:dyDescent="0.15">
      <c r="A333" s="24"/>
      <c r="B333" s="31"/>
      <c r="E333" s="2"/>
    </row>
    <row r="334" spans="1:5" ht="15" customHeight="1" x14ac:dyDescent="0.15">
      <c r="A334" s="24"/>
      <c r="B334" s="31"/>
      <c r="E334" s="2"/>
    </row>
    <row r="335" spans="1:5" ht="15" customHeight="1" x14ac:dyDescent="0.15">
      <c r="A335" s="24"/>
      <c r="B335" s="31"/>
      <c r="E335" s="2"/>
    </row>
    <row r="336" spans="1:5" ht="15" customHeight="1" x14ac:dyDescent="0.15">
      <c r="A336" s="24"/>
      <c r="B336" s="31"/>
      <c r="E336" s="2"/>
    </row>
    <row r="337" spans="1:5" ht="15" customHeight="1" x14ac:dyDescent="0.15">
      <c r="A337" s="24"/>
      <c r="B337" s="31"/>
      <c r="E337" s="2"/>
    </row>
    <row r="338" spans="1:5" ht="15" customHeight="1" x14ac:dyDescent="0.15">
      <c r="A338" s="24"/>
      <c r="B338" s="31"/>
      <c r="E338" s="2"/>
    </row>
    <row r="339" spans="1:5" ht="15" customHeight="1" x14ac:dyDescent="0.15">
      <c r="A339" s="24"/>
      <c r="B339" s="31"/>
      <c r="E339" s="2"/>
    </row>
    <row r="340" spans="1:5" ht="15" customHeight="1" x14ac:dyDescent="0.15">
      <c r="A340" s="24"/>
      <c r="B340" s="31"/>
      <c r="E340" s="2"/>
    </row>
    <row r="341" spans="1:5" ht="15" customHeight="1" x14ac:dyDescent="0.15">
      <c r="A341" s="24"/>
      <c r="B341" s="31"/>
      <c r="E341" s="2"/>
    </row>
    <row r="342" spans="1:5" ht="15" customHeight="1" x14ac:dyDescent="0.15">
      <c r="A342" s="24"/>
      <c r="B342" s="31"/>
      <c r="E342" s="2"/>
    </row>
    <row r="343" spans="1:5" ht="15" customHeight="1" x14ac:dyDescent="0.15">
      <c r="A343" s="24"/>
      <c r="B343" s="31"/>
      <c r="E343" s="2"/>
    </row>
    <row r="344" spans="1:5" ht="15" customHeight="1" x14ac:dyDescent="0.15">
      <c r="A344" s="24"/>
      <c r="B344" s="31"/>
      <c r="E344" s="2"/>
    </row>
    <row r="345" spans="1:5" ht="15" customHeight="1" x14ac:dyDescent="0.15">
      <c r="A345" s="24"/>
      <c r="B345" s="31"/>
      <c r="E345" s="2"/>
    </row>
    <row r="346" spans="1:5" ht="15" customHeight="1" x14ac:dyDescent="0.15">
      <c r="A346" s="24"/>
      <c r="B346" s="31"/>
      <c r="E346" s="2"/>
    </row>
    <row r="347" spans="1:5" ht="15" customHeight="1" x14ac:dyDescent="0.15">
      <c r="A347" s="24"/>
      <c r="B347" s="31"/>
      <c r="E347" s="2"/>
    </row>
    <row r="348" spans="1:5" ht="15" customHeight="1" x14ac:dyDescent="0.15">
      <c r="A348" s="24"/>
      <c r="B348" s="31"/>
      <c r="E348" s="2"/>
    </row>
    <row r="349" spans="1:5" ht="15" customHeight="1" x14ac:dyDescent="0.15">
      <c r="A349" s="24"/>
      <c r="B349" s="31"/>
      <c r="E349" s="2"/>
    </row>
    <row r="350" spans="1:5" ht="15" customHeight="1" x14ac:dyDescent="0.15">
      <c r="A350" s="24"/>
      <c r="B350" s="31"/>
      <c r="E350" s="2"/>
    </row>
    <row r="351" spans="1:5" ht="15" customHeight="1" x14ac:dyDescent="0.15">
      <c r="A351" s="24"/>
      <c r="B351" s="31"/>
      <c r="E351" s="2"/>
    </row>
    <row r="352" spans="1:5" ht="15" customHeight="1" x14ac:dyDescent="0.15">
      <c r="A352" s="24"/>
      <c r="B352" s="31"/>
      <c r="E352" s="2"/>
    </row>
    <row r="353" spans="1:5" ht="15" customHeight="1" x14ac:dyDescent="0.15">
      <c r="A353" s="24"/>
      <c r="B353" s="31"/>
      <c r="E353" s="2"/>
    </row>
    <row r="354" spans="1:5" ht="15" customHeight="1" x14ac:dyDescent="0.15">
      <c r="A354" s="24"/>
      <c r="B354" s="31"/>
      <c r="E354" s="2"/>
    </row>
    <row r="355" spans="1:5" ht="15" customHeight="1" x14ac:dyDescent="0.15">
      <c r="A355" s="24"/>
      <c r="B355" s="31"/>
      <c r="E355" s="2"/>
    </row>
    <row r="356" spans="1:5" ht="15" customHeight="1" x14ac:dyDescent="0.15">
      <c r="A356" s="24"/>
      <c r="B356" s="31"/>
      <c r="E356" s="2"/>
    </row>
    <row r="357" spans="1:5" ht="15" customHeight="1" x14ac:dyDescent="0.15">
      <c r="A357" s="24"/>
      <c r="B357" s="31"/>
      <c r="E357" s="2"/>
    </row>
    <row r="358" spans="1:5" ht="15" customHeight="1" x14ac:dyDescent="0.15">
      <c r="A358" s="24"/>
      <c r="B358" s="31"/>
      <c r="E358" s="2"/>
    </row>
    <row r="359" spans="1:5" ht="15" customHeight="1" x14ac:dyDescent="0.15">
      <c r="A359" s="24"/>
      <c r="B359" s="31"/>
      <c r="E359" s="2"/>
    </row>
    <row r="360" spans="1:5" ht="15" customHeight="1" x14ac:dyDescent="0.15">
      <c r="A360" s="24"/>
      <c r="B360" s="31"/>
      <c r="E360" s="2"/>
    </row>
    <row r="361" spans="1:5" ht="15" customHeight="1" x14ac:dyDescent="0.15">
      <c r="A361" s="24"/>
      <c r="B361" s="31"/>
      <c r="E361" s="2"/>
    </row>
    <row r="362" spans="1:5" ht="15" customHeight="1" x14ac:dyDescent="0.15">
      <c r="A362" s="24"/>
      <c r="B362" s="31"/>
      <c r="E362" s="2"/>
    </row>
    <row r="363" spans="1:5" ht="15" customHeight="1" x14ac:dyDescent="0.15">
      <c r="A363" s="24"/>
      <c r="B363" s="31"/>
      <c r="E363" s="2"/>
    </row>
    <row r="364" spans="1:5" ht="15" customHeight="1" x14ac:dyDescent="0.15">
      <c r="A364" s="24"/>
      <c r="B364" s="31"/>
      <c r="E364" s="2"/>
    </row>
    <row r="365" spans="1:5" ht="15" customHeight="1" x14ac:dyDescent="0.15">
      <c r="A365" s="24"/>
      <c r="B365" s="31"/>
      <c r="E365" s="2"/>
    </row>
    <row r="366" spans="1:5" ht="15" customHeight="1" x14ac:dyDescent="0.15">
      <c r="A366" s="24"/>
      <c r="B366" s="31"/>
      <c r="E366" s="2"/>
    </row>
    <row r="367" spans="1:5" ht="15" customHeight="1" x14ac:dyDescent="0.15">
      <c r="A367" s="24"/>
      <c r="B367" s="31"/>
      <c r="E367" s="2"/>
    </row>
    <row r="368" spans="1:5" ht="15" customHeight="1" x14ac:dyDescent="0.15">
      <c r="A368" s="24"/>
      <c r="B368" s="31"/>
      <c r="E368" s="2"/>
    </row>
    <row r="369" spans="1:5" ht="15" customHeight="1" x14ac:dyDescent="0.15">
      <c r="A369" s="24"/>
      <c r="B369" s="31"/>
      <c r="E369" s="2"/>
    </row>
    <row r="370" spans="1:5" ht="15" customHeight="1" x14ac:dyDescent="0.15">
      <c r="A370" s="24"/>
      <c r="B370" s="31"/>
      <c r="E370" s="2"/>
    </row>
    <row r="371" spans="1:5" ht="15" customHeight="1" x14ac:dyDescent="0.15">
      <c r="A371" s="24"/>
      <c r="B371" s="31"/>
      <c r="E371" s="2"/>
    </row>
    <row r="372" spans="1:5" ht="15" customHeight="1" x14ac:dyDescent="0.15">
      <c r="A372" s="24"/>
      <c r="B372" s="31"/>
      <c r="E372" s="2"/>
    </row>
    <row r="373" spans="1:5" ht="15" customHeight="1" x14ac:dyDescent="0.15">
      <c r="A373" s="24"/>
      <c r="B373" s="31"/>
      <c r="E373" s="2"/>
    </row>
    <row r="374" spans="1:5" ht="15" customHeight="1" x14ac:dyDescent="0.15">
      <c r="A374" s="24"/>
      <c r="B374" s="31"/>
      <c r="E374" s="2"/>
    </row>
    <row r="375" spans="1:5" ht="15" customHeight="1" x14ac:dyDescent="0.15">
      <c r="A375" s="24"/>
      <c r="B375" s="31"/>
      <c r="E375" s="2"/>
    </row>
    <row r="376" spans="1:5" ht="15" customHeight="1" x14ac:dyDescent="0.15">
      <c r="A376" s="24"/>
      <c r="B376" s="31"/>
      <c r="E376" s="2"/>
    </row>
    <row r="377" spans="1:5" ht="15" customHeight="1" x14ac:dyDescent="0.15">
      <c r="A377" s="24"/>
      <c r="B377" s="31"/>
      <c r="E377" s="2"/>
    </row>
    <row r="378" spans="1:5" ht="15" customHeight="1" x14ac:dyDescent="0.15">
      <c r="A378" s="24"/>
      <c r="B378" s="31"/>
      <c r="E378" s="2"/>
    </row>
    <row r="379" spans="1:5" ht="15" customHeight="1" x14ac:dyDescent="0.15">
      <c r="A379" s="24"/>
      <c r="B379" s="31"/>
      <c r="E379" s="2"/>
    </row>
    <row r="380" spans="1:5" ht="15" customHeight="1" x14ac:dyDescent="0.15">
      <c r="A380" s="24"/>
      <c r="B380" s="31"/>
      <c r="E380" s="2"/>
    </row>
    <row r="381" spans="1:5" ht="15" customHeight="1" x14ac:dyDescent="0.15">
      <c r="A381" s="24"/>
      <c r="B381" s="31"/>
      <c r="E381" s="2"/>
    </row>
    <row r="382" spans="1:5" ht="15" customHeight="1" x14ac:dyDescent="0.15">
      <c r="A382" s="24"/>
      <c r="B382" s="31"/>
      <c r="E382" s="2"/>
    </row>
    <row r="383" spans="1:5" ht="15" customHeight="1" x14ac:dyDescent="0.15">
      <c r="A383" s="24"/>
      <c r="B383" s="31"/>
      <c r="E383" s="2"/>
    </row>
    <row r="384" spans="1:5" ht="15" customHeight="1" x14ac:dyDescent="0.15">
      <c r="A384" s="24"/>
      <c r="B384" s="31"/>
      <c r="E384" s="2"/>
    </row>
    <row r="385" spans="1:5" ht="15" customHeight="1" x14ac:dyDescent="0.15">
      <c r="A385" s="24"/>
      <c r="B385" s="31"/>
      <c r="E385" s="2"/>
    </row>
    <row r="386" spans="1:5" ht="15" customHeight="1" x14ac:dyDescent="0.15">
      <c r="A386" s="24"/>
      <c r="B386" s="31"/>
      <c r="E386" s="2"/>
    </row>
    <row r="387" spans="1:5" ht="15" customHeight="1" x14ac:dyDescent="0.15">
      <c r="A387" s="24"/>
      <c r="B387" s="31"/>
      <c r="E387" s="2"/>
    </row>
    <row r="388" spans="1:5" ht="15" customHeight="1" x14ac:dyDescent="0.15">
      <c r="A388" s="24"/>
      <c r="B388" s="31"/>
      <c r="E388" s="2"/>
    </row>
    <row r="389" spans="1:5" ht="15" customHeight="1" x14ac:dyDescent="0.15">
      <c r="A389" s="24"/>
      <c r="B389" s="31"/>
      <c r="E389" s="2"/>
    </row>
    <row r="390" spans="1:5" ht="15" customHeight="1" x14ac:dyDescent="0.15">
      <c r="A390" s="24"/>
      <c r="B390" s="31"/>
      <c r="E390" s="2"/>
    </row>
    <row r="391" spans="1:5" ht="15" customHeight="1" x14ac:dyDescent="0.15">
      <c r="A391" s="24"/>
      <c r="B391" s="31"/>
      <c r="E391" s="2"/>
    </row>
    <row r="392" spans="1:5" ht="15" customHeight="1" x14ac:dyDescent="0.15">
      <c r="A392" s="24"/>
      <c r="B392" s="31"/>
      <c r="E392" s="2"/>
    </row>
    <row r="393" spans="1:5" ht="15" customHeight="1" x14ac:dyDescent="0.15">
      <c r="A393" s="24"/>
      <c r="B393" s="31"/>
      <c r="E393" s="2"/>
    </row>
    <row r="394" spans="1:5" ht="15" customHeight="1" x14ac:dyDescent="0.15">
      <c r="A394" s="24"/>
      <c r="B394" s="31"/>
      <c r="E394" s="2"/>
    </row>
    <row r="395" spans="1:5" ht="15" customHeight="1" x14ac:dyDescent="0.15">
      <c r="A395" s="24"/>
      <c r="B395" s="31"/>
      <c r="E395" s="2"/>
    </row>
    <row r="396" spans="1:5" ht="15" customHeight="1" x14ac:dyDescent="0.15">
      <c r="A396" s="24"/>
      <c r="B396" s="31"/>
      <c r="E396" s="2"/>
    </row>
    <row r="397" spans="1:5" ht="15" customHeight="1" x14ac:dyDescent="0.15">
      <c r="A397" s="24"/>
      <c r="B397" s="31"/>
      <c r="E397" s="2"/>
    </row>
    <row r="398" spans="1:5" ht="15" customHeight="1" x14ac:dyDescent="0.15">
      <c r="A398" s="24"/>
      <c r="B398" s="31"/>
      <c r="E398" s="2"/>
    </row>
    <row r="399" spans="1:5" ht="15" customHeight="1" x14ac:dyDescent="0.15">
      <c r="A399" s="24"/>
      <c r="B399" s="31"/>
      <c r="E399" s="2"/>
    </row>
    <row r="400" spans="1:5" ht="15" customHeight="1" x14ac:dyDescent="0.15">
      <c r="A400" s="24"/>
      <c r="B400" s="31"/>
      <c r="E400" s="2"/>
    </row>
    <row r="401" spans="1:5" ht="15" customHeight="1" x14ac:dyDescent="0.15">
      <c r="A401" s="24"/>
      <c r="B401" s="31"/>
      <c r="E401" s="2"/>
    </row>
    <row r="402" spans="1:5" ht="15" customHeight="1" x14ac:dyDescent="0.15">
      <c r="A402" s="24"/>
      <c r="B402" s="31"/>
      <c r="E402" s="2"/>
    </row>
    <row r="403" spans="1:5" ht="15" customHeight="1" x14ac:dyDescent="0.15">
      <c r="A403" s="24"/>
      <c r="B403" s="31"/>
      <c r="E403" s="2"/>
    </row>
    <row r="404" spans="1:5" ht="15" customHeight="1" x14ac:dyDescent="0.15">
      <c r="A404" s="24"/>
      <c r="B404" s="31"/>
      <c r="E404" s="2"/>
    </row>
    <row r="405" spans="1:5" ht="15" customHeight="1" x14ac:dyDescent="0.15">
      <c r="A405" s="24"/>
      <c r="B405" s="31"/>
      <c r="E405" s="2"/>
    </row>
    <row r="406" spans="1:5" ht="15" customHeight="1" x14ac:dyDescent="0.15">
      <c r="A406" s="24"/>
      <c r="B406" s="31"/>
      <c r="E406" s="2"/>
    </row>
    <row r="407" spans="1:5" ht="15" customHeight="1" x14ac:dyDescent="0.15">
      <c r="A407" s="24"/>
      <c r="B407" s="31"/>
      <c r="E407" s="2"/>
    </row>
    <row r="408" spans="1:5" ht="15" customHeight="1" x14ac:dyDescent="0.15">
      <c r="A408" s="24"/>
      <c r="B408" s="31"/>
      <c r="E408" s="2"/>
    </row>
    <row r="409" spans="1:5" ht="15" customHeight="1" x14ac:dyDescent="0.15">
      <c r="A409" s="24"/>
      <c r="B409" s="31"/>
      <c r="E409" s="2"/>
    </row>
    <row r="410" spans="1:5" ht="15" customHeight="1" x14ac:dyDescent="0.15">
      <c r="A410" s="24"/>
      <c r="B410" s="31"/>
      <c r="E410" s="2"/>
    </row>
    <row r="411" spans="1:5" ht="15" customHeight="1" x14ac:dyDescent="0.15">
      <c r="A411" s="24"/>
      <c r="B411" s="31"/>
      <c r="E411" s="2"/>
    </row>
    <row r="412" spans="1:5" ht="15" customHeight="1" x14ac:dyDescent="0.15">
      <c r="A412" s="24"/>
      <c r="B412" s="31"/>
      <c r="E412" s="2"/>
    </row>
    <row r="413" spans="1:5" ht="15" customHeight="1" x14ac:dyDescent="0.15">
      <c r="A413" s="24"/>
      <c r="B413" s="31"/>
      <c r="E413" s="2"/>
    </row>
    <row r="414" spans="1:5" ht="15" customHeight="1" x14ac:dyDescent="0.15">
      <c r="A414" s="24"/>
      <c r="B414" s="31"/>
      <c r="E414" s="2"/>
    </row>
    <row r="415" spans="1:5" ht="15" customHeight="1" x14ac:dyDescent="0.15">
      <c r="A415" s="24"/>
      <c r="B415" s="31"/>
      <c r="E415" s="2"/>
    </row>
    <row r="416" spans="1:5" ht="15" customHeight="1" x14ac:dyDescent="0.15">
      <c r="A416" s="24"/>
      <c r="B416" s="31"/>
      <c r="E416" s="2"/>
    </row>
    <row r="417" spans="1:5" ht="15" customHeight="1" x14ac:dyDescent="0.15">
      <c r="A417" s="24"/>
      <c r="B417" s="31"/>
      <c r="E417" s="2"/>
    </row>
    <row r="418" spans="1:5" ht="15" customHeight="1" x14ac:dyDescent="0.15">
      <c r="A418" s="24"/>
      <c r="B418" s="31"/>
      <c r="E418" s="2"/>
    </row>
    <row r="419" spans="1:5" ht="15" customHeight="1" x14ac:dyDescent="0.15">
      <c r="A419" s="24"/>
      <c r="B419" s="31"/>
      <c r="E419" s="2"/>
    </row>
    <row r="420" spans="1:5" ht="15" customHeight="1" x14ac:dyDescent="0.15">
      <c r="A420" s="24"/>
      <c r="B420" s="31"/>
      <c r="E420" s="2"/>
    </row>
    <row r="421" spans="1:5" ht="15" customHeight="1" x14ac:dyDescent="0.15">
      <c r="A421" s="24"/>
      <c r="B421" s="31"/>
      <c r="E421" s="2"/>
    </row>
    <row r="422" spans="1:5" ht="15" customHeight="1" x14ac:dyDescent="0.15">
      <c r="A422" s="24"/>
      <c r="B422" s="31"/>
      <c r="E422" s="2"/>
    </row>
    <row r="423" spans="1:5" ht="15" customHeight="1" x14ac:dyDescent="0.15">
      <c r="A423" s="24"/>
      <c r="B423" s="31"/>
      <c r="E423" s="2"/>
    </row>
    <row r="424" spans="1:5" ht="15" customHeight="1" x14ac:dyDescent="0.15">
      <c r="A424" s="24"/>
      <c r="B424" s="31"/>
      <c r="E424" s="2"/>
    </row>
    <row r="425" spans="1:5" ht="15" customHeight="1" x14ac:dyDescent="0.15">
      <c r="A425" s="24"/>
      <c r="B425" s="31"/>
      <c r="E425" s="2"/>
    </row>
    <row r="426" spans="1:5" ht="15" customHeight="1" x14ac:dyDescent="0.15">
      <c r="A426" s="24"/>
      <c r="B426" s="31"/>
      <c r="E426" s="2"/>
    </row>
    <row r="427" spans="1:5" ht="15" customHeight="1" x14ac:dyDescent="0.15">
      <c r="A427" s="24"/>
      <c r="B427" s="31"/>
      <c r="E427" s="2"/>
    </row>
    <row r="428" spans="1:5" ht="15" customHeight="1" x14ac:dyDescent="0.15">
      <c r="A428" s="24"/>
      <c r="B428" s="31"/>
      <c r="E428" s="2"/>
    </row>
    <row r="429" spans="1:5" ht="15" customHeight="1" x14ac:dyDescent="0.15">
      <c r="A429" s="24"/>
      <c r="B429" s="31"/>
      <c r="E429" s="2"/>
    </row>
    <row r="430" spans="1:5" ht="15" customHeight="1" x14ac:dyDescent="0.15">
      <c r="A430" s="24"/>
      <c r="B430" s="31"/>
      <c r="E430" s="2"/>
    </row>
    <row r="431" spans="1:5" ht="15" customHeight="1" x14ac:dyDescent="0.15">
      <c r="A431" s="24"/>
      <c r="B431" s="31"/>
      <c r="E431" s="2"/>
    </row>
    <row r="432" spans="1:5" ht="15" customHeight="1" x14ac:dyDescent="0.15">
      <c r="A432" s="24"/>
      <c r="B432" s="31"/>
      <c r="E432" s="2"/>
    </row>
    <row r="433" spans="1:5" ht="15" customHeight="1" x14ac:dyDescent="0.15">
      <c r="A433" s="24"/>
      <c r="B433" s="31"/>
      <c r="E433" s="2"/>
    </row>
    <row r="434" spans="1:5" ht="15" customHeight="1" x14ac:dyDescent="0.15">
      <c r="A434" s="24"/>
      <c r="B434" s="31"/>
      <c r="E434" s="2"/>
    </row>
    <row r="435" spans="1:5" ht="15" customHeight="1" x14ac:dyDescent="0.15">
      <c r="A435" s="24"/>
      <c r="B435" s="31"/>
      <c r="E435" s="2"/>
    </row>
    <row r="436" spans="1:5" ht="15" customHeight="1" x14ac:dyDescent="0.15">
      <c r="A436" s="24"/>
      <c r="B436" s="31"/>
      <c r="E436" s="2"/>
    </row>
    <row r="437" spans="1:5" ht="15" customHeight="1" x14ac:dyDescent="0.15">
      <c r="A437" s="24"/>
      <c r="B437" s="31"/>
      <c r="E437" s="2"/>
    </row>
    <row r="438" spans="1:5" ht="15" customHeight="1" x14ac:dyDescent="0.15">
      <c r="A438" s="24"/>
      <c r="B438" s="31"/>
      <c r="E438" s="2"/>
    </row>
    <row r="439" spans="1:5" ht="15" customHeight="1" x14ac:dyDescent="0.15">
      <c r="A439" s="24"/>
      <c r="B439" s="31"/>
      <c r="E439" s="2"/>
    </row>
    <row r="440" spans="1:5" ht="15" customHeight="1" x14ac:dyDescent="0.15">
      <c r="A440" s="24"/>
      <c r="B440" s="31"/>
      <c r="E440" s="2"/>
    </row>
    <row r="441" spans="1:5" ht="15" customHeight="1" x14ac:dyDescent="0.15">
      <c r="A441" s="24"/>
      <c r="B441" s="31"/>
      <c r="E441" s="2"/>
    </row>
    <row r="442" spans="1:5" ht="15" customHeight="1" x14ac:dyDescent="0.15">
      <c r="A442" s="24"/>
      <c r="B442" s="31"/>
      <c r="E442" s="2"/>
    </row>
    <row r="443" spans="1:5" ht="15" customHeight="1" x14ac:dyDescent="0.15">
      <c r="A443" s="24"/>
      <c r="B443" s="31"/>
      <c r="E443" s="2"/>
    </row>
    <row r="444" spans="1:5" ht="15" customHeight="1" x14ac:dyDescent="0.15">
      <c r="A444" s="24"/>
      <c r="B444" s="31"/>
      <c r="E444" s="2"/>
    </row>
    <row r="445" spans="1:5" ht="15" customHeight="1" x14ac:dyDescent="0.15">
      <c r="A445" s="24"/>
      <c r="B445" s="31"/>
      <c r="E445" s="2"/>
    </row>
    <row r="446" spans="1:5" ht="15" customHeight="1" x14ac:dyDescent="0.15">
      <c r="A446" s="24"/>
      <c r="B446" s="31"/>
      <c r="E446" s="2"/>
    </row>
    <row r="447" spans="1:5" ht="15" customHeight="1" x14ac:dyDescent="0.15">
      <c r="A447" s="24"/>
      <c r="B447" s="31"/>
      <c r="E447" s="2"/>
    </row>
    <row r="448" spans="1:5" ht="15" customHeight="1" x14ac:dyDescent="0.15">
      <c r="A448" s="24"/>
      <c r="B448" s="31"/>
      <c r="E448" s="2"/>
    </row>
    <row r="449" spans="1:5" ht="15" customHeight="1" x14ac:dyDescent="0.15">
      <c r="A449" s="24"/>
      <c r="B449" s="31"/>
      <c r="E449" s="2"/>
    </row>
    <row r="450" spans="1:5" ht="15" customHeight="1" x14ac:dyDescent="0.15">
      <c r="A450" s="24"/>
      <c r="B450" s="31"/>
      <c r="E450" s="2"/>
    </row>
    <row r="451" spans="1:5" ht="15" customHeight="1" x14ac:dyDescent="0.15">
      <c r="A451" s="24"/>
      <c r="B451" s="31"/>
      <c r="E451" s="2"/>
    </row>
    <row r="452" spans="1:5" ht="15" customHeight="1" x14ac:dyDescent="0.15">
      <c r="A452" s="24"/>
      <c r="B452" s="31"/>
      <c r="E452" s="2"/>
    </row>
    <row r="453" spans="1:5" ht="15" customHeight="1" x14ac:dyDescent="0.15">
      <c r="A453" s="24"/>
      <c r="B453" s="31"/>
      <c r="E453" s="2"/>
    </row>
    <row r="454" spans="1:5" ht="15" customHeight="1" x14ac:dyDescent="0.15">
      <c r="A454" s="24"/>
      <c r="B454" s="31"/>
      <c r="E454" s="2"/>
    </row>
    <row r="455" spans="1:5" ht="15" customHeight="1" x14ac:dyDescent="0.15">
      <c r="A455" s="24"/>
      <c r="B455" s="31"/>
      <c r="E455" s="2"/>
    </row>
    <row r="456" spans="1:5" ht="15" customHeight="1" x14ac:dyDescent="0.15">
      <c r="A456" s="24"/>
      <c r="B456" s="31"/>
      <c r="E456" s="2"/>
    </row>
    <row r="457" spans="1:5" ht="15" customHeight="1" x14ac:dyDescent="0.15">
      <c r="A457" s="24"/>
      <c r="B457" s="31"/>
      <c r="E457" s="2"/>
    </row>
    <row r="458" spans="1:5" ht="15" customHeight="1" x14ac:dyDescent="0.15">
      <c r="A458" s="24"/>
      <c r="B458" s="31"/>
      <c r="E458" s="2"/>
    </row>
    <row r="459" spans="1:5" ht="15" customHeight="1" x14ac:dyDescent="0.15">
      <c r="A459" s="24"/>
      <c r="B459" s="31"/>
      <c r="E459" s="2"/>
    </row>
    <row r="460" spans="1:5" ht="15" customHeight="1" x14ac:dyDescent="0.15">
      <c r="A460" s="24"/>
      <c r="B460" s="31"/>
      <c r="E460" s="2"/>
    </row>
    <row r="461" spans="1:5" ht="15" customHeight="1" x14ac:dyDescent="0.15">
      <c r="A461" s="24"/>
      <c r="B461" s="31"/>
      <c r="E461" s="2"/>
    </row>
    <row r="462" spans="1:5" ht="15" customHeight="1" x14ac:dyDescent="0.15">
      <c r="A462" s="24"/>
      <c r="B462" s="31"/>
      <c r="E462" s="2"/>
    </row>
    <row r="463" spans="1:5" ht="15" customHeight="1" x14ac:dyDescent="0.15">
      <c r="A463" s="24"/>
      <c r="B463" s="31"/>
      <c r="E463" s="2"/>
    </row>
    <row r="464" spans="1:5" ht="15" customHeight="1" x14ac:dyDescent="0.15">
      <c r="A464" s="24"/>
      <c r="B464" s="31"/>
      <c r="E464" s="2"/>
    </row>
    <row r="465" spans="1:5" ht="15" customHeight="1" x14ac:dyDescent="0.15">
      <c r="A465" s="24"/>
      <c r="B465" s="31"/>
      <c r="E465" s="2"/>
    </row>
    <row r="466" spans="1:5" ht="15" customHeight="1" x14ac:dyDescent="0.15">
      <c r="A466" s="24"/>
      <c r="B466" s="31"/>
      <c r="E466" s="2"/>
    </row>
    <row r="467" spans="1:5" ht="15" customHeight="1" x14ac:dyDescent="0.15">
      <c r="A467" s="24"/>
      <c r="B467" s="31"/>
      <c r="E467" s="2"/>
    </row>
    <row r="468" spans="1:5" ht="15" customHeight="1" x14ac:dyDescent="0.15">
      <c r="A468" s="24"/>
      <c r="B468" s="31"/>
      <c r="E468" s="2"/>
    </row>
    <row r="469" spans="1:5" ht="15" customHeight="1" x14ac:dyDescent="0.15">
      <c r="A469" s="24"/>
      <c r="B469" s="31"/>
      <c r="E469" s="2"/>
    </row>
    <row r="470" spans="1:5" ht="15" customHeight="1" x14ac:dyDescent="0.15">
      <c r="A470" s="24"/>
      <c r="B470" s="31"/>
      <c r="E470" s="2"/>
    </row>
    <row r="471" spans="1:5" ht="15" customHeight="1" x14ac:dyDescent="0.15">
      <c r="A471" s="24"/>
      <c r="B471" s="31"/>
      <c r="E471" s="2"/>
    </row>
    <row r="472" spans="1:5" ht="15" customHeight="1" x14ac:dyDescent="0.15">
      <c r="A472" s="24"/>
      <c r="B472" s="31"/>
      <c r="E472" s="2"/>
    </row>
    <row r="473" spans="1:5" ht="15" customHeight="1" x14ac:dyDescent="0.15">
      <c r="A473" s="24"/>
      <c r="B473" s="31"/>
      <c r="E473" s="2"/>
    </row>
    <row r="474" spans="1:5" ht="15" customHeight="1" x14ac:dyDescent="0.15">
      <c r="A474" s="24"/>
      <c r="B474" s="31"/>
      <c r="E474" s="2"/>
    </row>
    <row r="475" spans="1:5" ht="15" customHeight="1" x14ac:dyDescent="0.15">
      <c r="A475" s="24"/>
      <c r="B475" s="31"/>
      <c r="E475" s="2"/>
    </row>
    <row r="476" spans="1:5" ht="15" customHeight="1" x14ac:dyDescent="0.15">
      <c r="A476" s="24"/>
      <c r="B476" s="31"/>
      <c r="E476" s="2"/>
    </row>
    <row r="477" spans="1:5" ht="15" customHeight="1" x14ac:dyDescent="0.15">
      <c r="A477" s="24"/>
      <c r="B477" s="31"/>
      <c r="E477" s="2"/>
    </row>
    <row r="478" spans="1:5" ht="15" customHeight="1" x14ac:dyDescent="0.15">
      <c r="A478" s="24"/>
      <c r="B478" s="31"/>
      <c r="E478" s="2"/>
    </row>
    <row r="479" spans="1:5" ht="15" customHeight="1" x14ac:dyDescent="0.15">
      <c r="A479" s="24"/>
      <c r="B479" s="31"/>
      <c r="E479" s="2"/>
    </row>
    <row r="480" spans="1:5" ht="15" customHeight="1" x14ac:dyDescent="0.15">
      <c r="A480" s="24"/>
      <c r="B480" s="31"/>
      <c r="E480" s="2"/>
    </row>
    <row r="481" spans="1:5" ht="15" customHeight="1" x14ac:dyDescent="0.15">
      <c r="A481" s="24"/>
      <c r="B481" s="31"/>
      <c r="E481" s="2"/>
    </row>
    <row r="482" spans="1:5" ht="15" customHeight="1" x14ac:dyDescent="0.15">
      <c r="A482" s="24"/>
      <c r="B482" s="31"/>
      <c r="E482" s="2"/>
    </row>
    <row r="483" spans="1:5" ht="15" customHeight="1" x14ac:dyDescent="0.15">
      <c r="A483" s="24"/>
      <c r="B483" s="31"/>
      <c r="E483" s="2"/>
    </row>
    <row r="484" spans="1:5" ht="15" customHeight="1" x14ac:dyDescent="0.15">
      <c r="A484" s="24"/>
      <c r="B484" s="31"/>
      <c r="E484" s="2"/>
    </row>
    <row r="485" spans="1:5" ht="15" customHeight="1" x14ac:dyDescent="0.15">
      <c r="A485" s="24"/>
      <c r="B485" s="31"/>
      <c r="E485" s="2"/>
    </row>
    <row r="486" spans="1:5" ht="15" customHeight="1" x14ac:dyDescent="0.15">
      <c r="A486" s="24"/>
      <c r="B486" s="31"/>
      <c r="E486" s="2"/>
    </row>
    <row r="487" spans="1:5" ht="15" customHeight="1" x14ac:dyDescent="0.15">
      <c r="A487" s="24"/>
      <c r="B487" s="31"/>
      <c r="E487" s="2"/>
    </row>
    <row r="488" spans="1:5" ht="15" customHeight="1" x14ac:dyDescent="0.15">
      <c r="A488" s="24"/>
      <c r="B488" s="31"/>
      <c r="E488" s="2"/>
    </row>
    <row r="489" spans="1:5" ht="15" customHeight="1" x14ac:dyDescent="0.15">
      <c r="A489" s="24"/>
      <c r="B489" s="31"/>
      <c r="E489" s="2"/>
    </row>
    <row r="490" spans="1:5" ht="15" customHeight="1" x14ac:dyDescent="0.15">
      <c r="A490" s="24"/>
      <c r="B490" s="31"/>
      <c r="E490" s="2"/>
    </row>
    <row r="491" spans="1:5" ht="15" customHeight="1" x14ac:dyDescent="0.15">
      <c r="A491" s="24"/>
      <c r="B491" s="31"/>
      <c r="E491" s="2"/>
    </row>
    <row r="492" spans="1:5" ht="15" customHeight="1" x14ac:dyDescent="0.15">
      <c r="A492" s="24"/>
      <c r="B492" s="31"/>
      <c r="E492" s="2"/>
    </row>
    <row r="493" spans="1:5" ht="15" customHeight="1" x14ac:dyDescent="0.15">
      <c r="A493" s="24"/>
      <c r="B493" s="31"/>
      <c r="E493" s="2"/>
    </row>
    <row r="494" spans="1:5" ht="15" customHeight="1" x14ac:dyDescent="0.15">
      <c r="A494" s="24"/>
      <c r="B494" s="31"/>
      <c r="E494" s="2"/>
    </row>
    <row r="495" spans="1:5" ht="15" customHeight="1" x14ac:dyDescent="0.15">
      <c r="A495" s="24"/>
      <c r="B495" s="31"/>
      <c r="E495" s="2"/>
    </row>
    <row r="496" spans="1:5" ht="15" customHeight="1" x14ac:dyDescent="0.15">
      <c r="A496" s="24"/>
      <c r="B496" s="31"/>
      <c r="E496" s="2"/>
    </row>
    <row r="497" spans="1:5" ht="15" customHeight="1" x14ac:dyDescent="0.15">
      <c r="A497" s="24"/>
      <c r="B497" s="31"/>
      <c r="E497" s="2"/>
    </row>
    <row r="498" spans="1:5" ht="15" customHeight="1" x14ac:dyDescent="0.15">
      <c r="A498" s="24"/>
      <c r="B498" s="31"/>
      <c r="E498" s="2"/>
    </row>
    <row r="499" spans="1:5" ht="15" customHeight="1" x14ac:dyDescent="0.15">
      <c r="A499" s="24"/>
      <c r="B499" s="31"/>
      <c r="E499" s="2"/>
    </row>
    <row r="500" spans="1:5" ht="15" customHeight="1" x14ac:dyDescent="0.15">
      <c r="A500" s="24"/>
      <c r="B500" s="31"/>
      <c r="E500" s="2"/>
    </row>
    <row r="501" spans="1:5" ht="15" customHeight="1" x14ac:dyDescent="0.15">
      <c r="A501" s="24"/>
      <c r="B501" s="31"/>
      <c r="E501" s="2"/>
    </row>
    <row r="502" spans="1:5" ht="15" customHeight="1" x14ac:dyDescent="0.15">
      <c r="A502" s="24"/>
      <c r="B502" s="31"/>
      <c r="E502" s="2"/>
    </row>
    <row r="503" spans="1:5" ht="15" customHeight="1" x14ac:dyDescent="0.15">
      <c r="A503" s="24"/>
      <c r="B503" s="31"/>
      <c r="E503" s="2"/>
    </row>
    <row r="504" spans="1:5" ht="15" customHeight="1" x14ac:dyDescent="0.15">
      <c r="A504" s="24"/>
      <c r="B504" s="31"/>
      <c r="E504" s="2"/>
    </row>
    <row r="505" spans="1:5" ht="15" customHeight="1" x14ac:dyDescent="0.15">
      <c r="A505" s="24"/>
      <c r="B505" s="31"/>
      <c r="E505" s="2"/>
    </row>
    <row r="506" spans="1:5" ht="15" customHeight="1" x14ac:dyDescent="0.15">
      <c r="A506" s="24"/>
      <c r="B506" s="31"/>
      <c r="E506" s="2"/>
    </row>
    <row r="507" spans="1:5" ht="15" customHeight="1" x14ac:dyDescent="0.15">
      <c r="A507" s="24"/>
      <c r="B507" s="31"/>
      <c r="E507" s="2"/>
    </row>
    <row r="508" spans="1:5" ht="15" customHeight="1" x14ac:dyDescent="0.15">
      <c r="A508" s="24"/>
      <c r="B508" s="31"/>
      <c r="E508" s="2"/>
    </row>
    <row r="509" spans="1:5" ht="15" customHeight="1" x14ac:dyDescent="0.15">
      <c r="A509" s="24"/>
      <c r="B509" s="31"/>
      <c r="E509" s="2"/>
    </row>
    <row r="510" spans="1:5" ht="15" customHeight="1" x14ac:dyDescent="0.15">
      <c r="A510" s="24"/>
      <c r="B510" s="31"/>
      <c r="E510" s="2"/>
    </row>
    <row r="511" spans="1:5" ht="15" customHeight="1" x14ac:dyDescent="0.15">
      <c r="A511" s="24"/>
      <c r="B511" s="31"/>
      <c r="E511" s="2"/>
    </row>
    <row r="512" spans="1:5" ht="15" customHeight="1" x14ac:dyDescent="0.15">
      <c r="A512" s="24"/>
      <c r="B512" s="31"/>
      <c r="E512" s="2"/>
    </row>
    <row r="513" spans="1:5" ht="15" customHeight="1" x14ac:dyDescent="0.15">
      <c r="A513" s="24"/>
      <c r="B513" s="31"/>
      <c r="E513" s="2"/>
    </row>
    <row r="514" spans="1:5" ht="15" customHeight="1" x14ac:dyDescent="0.15">
      <c r="A514" s="24"/>
      <c r="B514" s="31"/>
      <c r="E514" s="2"/>
    </row>
    <row r="515" spans="1:5" ht="15" customHeight="1" x14ac:dyDescent="0.15">
      <c r="A515" s="24"/>
      <c r="B515" s="31"/>
      <c r="E515" s="2"/>
    </row>
    <row r="516" spans="1:5" ht="15" customHeight="1" x14ac:dyDescent="0.15">
      <c r="A516" s="24"/>
      <c r="B516" s="31"/>
      <c r="E516" s="2"/>
    </row>
    <row r="517" spans="1:5" ht="15" customHeight="1" x14ac:dyDescent="0.15">
      <c r="A517" s="24"/>
      <c r="B517" s="31"/>
      <c r="E517" s="2"/>
    </row>
    <row r="518" spans="1:5" ht="15" customHeight="1" x14ac:dyDescent="0.15">
      <c r="A518" s="24"/>
      <c r="B518" s="31"/>
      <c r="E518" s="2"/>
    </row>
    <row r="519" spans="1:5" ht="15" customHeight="1" x14ac:dyDescent="0.15">
      <c r="A519" s="24"/>
      <c r="B519" s="31"/>
      <c r="E519" s="2"/>
    </row>
    <row r="520" spans="1:5" ht="15" customHeight="1" x14ac:dyDescent="0.15">
      <c r="A520" s="24"/>
      <c r="B520" s="31"/>
      <c r="E520" s="2"/>
    </row>
    <row r="521" spans="1:5" ht="15" customHeight="1" x14ac:dyDescent="0.15">
      <c r="A521" s="24"/>
      <c r="B521" s="31"/>
      <c r="E521" s="2"/>
    </row>
    <row r="522" spans="1:5" ht="15" customHeight="1" x14ac:dyDescent="0.15">
      <c r="A522" s="24"/>
      <c r="B522" s="31"/>
      <c r="E522" s="2"/>
    </row>
    <row r="523" spans="1:5" ht="15" customHeight="1" x14ac:dyDescent="0.15">
      <c r="A523" s="24"/>
      <c r="B523" s="31"/>
      <c r="E523" s="2"/>
    </row>
    <row r="524" spans="1:5" ht="15" customHeight="1" x14ac:dyDescent="0.15">
      <c r="A524" s="24"/>
      <c r="B524" s="31"/>
      <c r="E524" s="2"/>
    </row>
    <row r="525" spans="1:5" ht="15" customHeight="1" x14ac:dyDescent="0.15">
      <c r="A525" s="24"/>
      <c r="B525" s="31"/>
      <c r="E525" s="2"/>
    </row>
    <row r="526" spans="1:5" ht="15" customHeight="1" x14ac:dyDescent="0.15">
      <c r="A526" s="24"/>
      <c r="B526" s="31"/>
      <c r="E526" s="2"/>
    </row>
    <row r="527" spans="1:5" ht="15" customHeight="1" x14ac:dyDescent="0.15">
      <c r="A527" s="24"/>
      <c r="B527" s="31"/>
      <c r="E527" s="2"/>
    </row>
    <row r="528" spans="1:5" ht="15" customHeight="1" x14ac:dyDescent="0.15">
      <c r="A528" s="24"/>
      <c r="B528" s="31"/>
      <c r="E528" s="2"/>
    </row>
    <row r="529" spans="1:5" ht="15" customHeight="1" x14ac:dyDescent="0.15">
      <c r="A529" s="24"/>
      <c r="B529" s="31"/>
      <c r="E529" s="2"/>
    </row>
    <row r="530" spans="1:5" ht="15" customHeight="1" x14ac:dyDescent="0.15">
      <c r="A530" s="24"/>
      <c r="B530" s="31"/>
      <c r="E530" s="2"/>
    </row>
    <row r="531" spans="1:5" ht="15" customHeight="1" x14ac:dyDescent="0.15">
      <c r="A531" s="24"/>
      <c r="B531" s="31"/>
      <c r="E531" s="2"/>
    </row>
    <row r="532" spans="1:5" ht="15" customHeight="1" x14ac:dyDescent="0.15">
      <c r="A532" s="24"/>
      <c r="B532" s="31"/>
      <c r="E532" s="2"/>
    </row>
    <row r="533" spans="1:5" ht="15" customHeight="1" x14ac:dyDescent="0.15">
      <c r="A533" s="24"/>
      <c r="B533" s="31"/>
      <c r="E533" s="2"/>
    </row>
    <row r="534" spans="1:5" ht="15" customHeight="1" x14ac:dyDescent="0.15">
      <c r="A534" s="24"/>
      <c r="B534" s="31"/>
      <c r="E534" s="2"/>
    </row>
    <row r="535" spans="1:5" ht="15" customHeight="1" x14ac:dyDescent="0.15">
      <c r="A535" s="24"/>
      <c r="B535" s="31"/>
      <c r="E535" s="2"/>
    </row>
    <row r="536" spans="1:5" ht="15" customHeight="1" x14ac:dyDescent="0.15">
      <c r="A536" s="24"/>
      <c r="B536" s="31"/>
      <c r="E536" s="2"/>
    </row>
    <row r="537" spans="1:5" ht="15" customHeight="1" x14ac:dyDescent="0.15">
      <c r="A537" s="24"/>
      <c r="B537" s="31"/>
      <c r="E537" s="2"/>
    </row>
    <row r="538" spans="1:5" ht="15" customHeight="1" x14ac:dyDescent="0.15">
      <c r="A538" s="24"/>
      <c r="B538" s="31"/>
      <c r="E538" s="2"/>
    </row>
    <row r="539" spans="1:5" ht="15" customHeight="1" x14ac:dyDescent="0.15">
      <c r="A539" s="24"/>
      <c r="B539" s="31"/>
      <c r="E539" s="2"/>
    </row>
    <row r="540" spans="1:5" ht="15" customHeight="1" x14ac:dyDescent="0.15">
      <c r="A540" s="24"/>
      <c r="B540" s="31"/>
      <c r="E540" s="2"/>
    </row>
    <row r="541" spans="1:5" ht="15" customHeight="1" x14ac:dyDescent="0.15">
      <c r="A541" s="24"/>
      <c r="B541" s="31"/>
      <c r="E541" s="2"/>
    </row>
    <row r="542" spans="1:5" ht="15" customHeight="1" x14ac:dyDescent="0.15">
      <c r="A542" s="24"/>
      <c r="B542" s="31"/>
      <c r="E542" s="2"/>
    </row>
    <row r="543" spans="1:5" ht="15" customHeight="1" x14ac:dyDescent="0.15">
      <c r="A543" s="24"/>
      <c r="B543" s="31"/>
      <c r="E543" s="2"/>
    </row>
    <row r="544" spans="1:5" ht="15" customHeight="1" x14ac:dyDescent="0.15">
      <c r="A544" s="24"/>
      <c r="B544" s="31"/>
      <c r="E544" s="2"/>
    </row>
    <row r="545" spans="1:5" ht="15" customHeight="1" x14ac:dyDescent="0.15">
      <c r="A545" s="24"/>
      <c r="B545" s="31"/>
      <c r="E545" s="2"/>
    </row>
    <row r="546" spans="1:5" ht="15" customHeight="1" x14ac:dyDescent="0.15">
      <c r="A546" s="24"/>
      <c r="B546" s="31"/>
      <c r="E546" s="2"/>
    </row>
    <row r="547" spans="1:5" ht="15" customHeight="1" x14ac:dyDescent="0.15">
      <c r="A547" s="24"/>
      <c r="B547" s="31"/>
      <c r="E547" s="2"/>
    </row>
    <row r="548" spans="1:5" ht="15" customHeight="1" x14ac:dyDescent="0.15">
      <c r="A548" s="24"/>
      <c r="B548" s="31"/>
      <c r="E548" s="2"/>
    </row>
    <row r="549" spans="1:5" ht="15" customHeight="1" x14ac:dyDescent="0.15">
      <c r="A549" s="24"/>
      <c r="B549" s="31"/>
      <c r="E549" s="2"/>
    </row>
    <row r="550" spans="1:5" ht="15" customHeight="1" x14ac:dyDescent="0.15">
      <c r="A550" s="24"/>
      <c r="B550" s="31"/>
      <c r="E550" s="2"/>
    </row>
    <row r="551" spans="1:5" ht="15" customHeight="1" x14ac:dyDescent="0.15">
      <c r="A551" s="24"/>
      <c r="B551" s="31"/>
      <c r="E551" s="2"/>
    </row>
    <row r="552" spans="1:5" ht="15" customHeight="1" x14ac:dyDescent="0.15">
      <c r="A552" s="24"/>
      <c r="B552" s="31"/>
      <c r="E552" s="2"/>
    </row>
    <row r="553" spans="1:5" ht="15" customHeight="1" x14ac:dyDescent="0.15">
      <c r="A553" s="24"/>
      <c r="B553" s="31"/>
      <c r="E553" s="2"/>
    </row>
    <row r="554" spans="1:5" ht="15" customHeight="1" x14ac:dyDescent="0.15">
      <c r="A554" s="24"/>
      <c r="B554" s="31"/>
      <c r="E554" s="2"/>
    </row>
    <row r="555" spans="1:5" ht="15" customHeight="1" x14ac:dyDescent="0.15">
      <c r="A555" s="24"/>
      <c r="B555" s="31"/>
      <c r="E555" s="2"/>
    </row>
    <row r="556" spans="1:5" ht="15" customHeight="1" x14ac:dyDescent="0.15">
      <c r="A556" s="24"/>
      <c r="B556" s="31"/>
      <c r="E556" s="2"/>
    </row>
    <row r="557" spans="1:5" ht="15" customHeight="1" x14ac:dyDescent="0.15">
      <c r="A557" s="24"/>
      <c r="B557" s="31"/>
      <c r="E557" s="2"/>
    </row>
    <row r="558" spans="1:5" ht="15" customHeight="1" x14ac:dyDescent="0.15">
      <c r="A558" s="24"/>
      <c r="B558" s="31"/>
      <c r="E558" s="2"/>
    </row>
    <row r="559" spans="1:5" ht="15" customHeight="1" x14ac:dyDescent="0.15">
      <c r="A559" s="24"/>
      <c r="B559" s="31"/>
      <c r="E559" s="2"/>
    </row>
    <row r="560" spans="1:5" ht="15" customHeight="1" x14ac:dyDescent="0.15">
      <c r="A560" s="24"/>
      <c r="B560" s="31"/>
      <c r="E560" s="2"/>
    </row>
    <row r="561" spans="1:5" ht="15" customHeight="1" x14ac:dyDescent="0.15">
      <c r="A561" s="24"/>
      <c r="B561" s="31"/>
      <c r="E561" s="2"/>
    </row>
    <row r="562" spans="1:5" ht="15" customHeight="1" x14ac:dyDescent="0.15">
      <c r="A562" s="24"/>
      <c r="B562" s="31"/>
      <c r="E562" s="2"/>
    </row>
    <row r="563" spans="1:5" ht="15" customHeight="1" x14ac:dyDescent="0.15">
      <c r="A563" s="24"/>
      <c r="B563" s="31"/>
      <c r="E563" s="2"/>
    </row>
    <row r="564" spans="1:5" ht="15" customHeight="1" x14ac:dyDescent="0.15">
      <c r="A564" s="24"/>
      <c r="B564" s="31"/>
      <c r="E564" s="2"/>
    </row>
    <row r="565" spans="1:5" ht="15" customHeight="1" x14ac:dyDescent="0.15">
      <c r="A565" s="24"/>
      <c r="B565" s="31"/>
      <c r="E565" s="2"/>
    </row>
    <row r="566" spans="1:5" ht="15" customHeight="1" x14ac:dyDescent="0.15">
      <c r="A566" s="24"/>
      <c r="B566" s="31"/>
      <c r="E566" s="2"/>
    </row>
    <row r="567" spans="1:5" ht="15" customHeight="1" x14ac:dyDescent="0.15">
      <c r="A567" s="24"/>
      <c r="B567" s="31"/>
      <c r="E567" s="2"/>
    </row>
    <row r="568" spans="1:5" ht="15" customHeight="1" x14ac:dyDescent="0.15">
      <c r="A568" s="24"/>
      <c r="B568" s="31"/>
      <c r="E568" s="2"/>
    </row>
    <row r="569" spans="1:5" ht="15" customHeight="1" x14ac:dyDescent="0.15">
      <c r="A569" s="24"/>
      <c r="B569" s="31"/>
      <c r="E569" s="2"/>
    </row>
    <row r="570" spans="1:5" ht="15" customHeight="1" x14ac:dyDescent="0.15">
      <c r="A570" s="24"/>
      <c r="B570" s="31"/>
      <c r="E570" s="2"/>
    </row>
    <row r="571" spans="1:5" ht="15" customHeight="1" x14ac:dyDescent="0.15">
      <c r="A571" s="24"/>
      <c r="B571" s="31"/>
      <c r="E571" s="2"/>
    </row>
    <row r="572" spans="1:5" ht="15" customHeight="1" x14ac:dyDescent="0.15">
      <c r="A572" s="24"/>
      <c r="B572" s="31"/>
      <c r="E572" s="2"/>
    </row>
    <row r="573" spans="1:5" ht="15" customHeight="1" x14ac:dyDescent="0.15">
      <c r="A573" s="24"/>
      <c r="B573" s="31"/>
      <c r="E573" s="2"/>
    </row>
    <row r="574" spans="1:5" ht="15" customHeight="1" x14ac:dyDescent="0.15">
      <c r="A574" s="24"/>
      <c r="B574" s="31"/>
      <c r="E574" s="2"/>
    </row>
    <row r="575" spans="1:5" ht="15" customHeight="1" x14ac:dyDescent="0.15">
      <c r="A575" s="24"/>
      <c r="B575" s="31"/>
      <c r="E575" s="2"/>
    </row>
    <row r="576" spans="1:5" ht="15" customHeight="1" x14ac:dyDescent="0.15">
      <c r="A576" s="24"/>
      <c r="B576" s="31"/>
      <c r="E576" s="2"/>
    </row>
    <row r="577" spans="1:5" ht="15" customHeight="1" x14ac:dyDescent="0.15">
      <c r="A577" s="24"/>
      <c r="B577" s="31"/>
      <c r="E577" s="2"/>
    </row>
    <row r="578" spans="1:5" ht="15" customHeight="1" x14ac:dyDescent="0.15">
      <c r="A578" s="24"/>
      <c r="B578" s="31"/>
      <c r="E578" s="2"/>
    </row>
    <row r="579" spans="1:5" ht="15" customHeight="1" x14ac:dyDescent="0.15">
      <c r="A579" s="24"/>
      <c r="B579" s="31"/>
      <c r="E579" s="2"/>
    </row>
    <row r="580" spans="1:5" ht="15" customHeight="1" x14ac:dyDescent="0.15">
      <c r="A580" s="24"/>
      <c r="B580" s="31"/>
      <c r="E580" s="2"/>
    </row>
    <row r="581" spans="1:5" ht="15" customHeight="1" x14ac:dyDescent="0.15">
      <c r="A581" s="24"/>
      <c r="B581" s="31"/>
      <c r="E581" s="2"/>
    </row>
    <row r="582" spans="1:5" ht="15" customHeight="1" x14ac:dyDescent="0.15">
      <c r="A582" s="24"/>
      <c r="B582" s="31"/>
      <c r="E582" s="2"/>
    </row>
    <row r="583" spans="1:5" ht="15" customHeight="1" x14ac:dyDescent="0.15">
      <c r="A583" s="24"/>
      <c r="B583" s="31"/>
      <c r="E583" s="2"/>
    </row>
    <row r="584" spans="1:5" ht="15" customHeight="1" x14ac:dyDescent="0.15">
      <c r="A584" s="24"/>
      <c r="B584" s="31"/>
      <c r="E584" s="2"/>
    </row>
    <row r="585" spans="1:5" ht="15" customHeight="1" x14ac:dyDescent="0.15">
      <c r="A585" s="24"/>
      <c r="B585" s="31"/>
      <c r="E585" s="2"/>
    </row>
    <row r="586" spans="1:5" ht="15" customHeight="1" x14ac:dyDescent="0.15">
      <c r="A586" s="24"/>
      <c r="B586" s="31"/>
      <c r="E586" s="2"/>
    </row>
    <row r="587" spans="1:5" ht="15" customHeight="1" x14ac:dyDescent="0.15">
      <c r="A587" s="24"/>
      <c r="B587" s="31"/>
      <c r="E587" s="2"/>
    </row>
    <row r="588" spans="1:5" ht="15" customHeight="1" x14ac:dyDescent="0.15">
      <c r="A588" s="24"/>
      <c r="B588" s="31"/>
      <c r="E588" s="2"/>
    </row>
    <row r="589" spans="1:5" ht="15" customHeight="1" x14ac:dyDescent="0.15">
      <c r="A589" s="24"/>
      <c r="B589" s="31"/>
      <c r="E589" s="2"/>
    </row>
    <row r="590" spans="1:5" ht="15" customHeight="1" x14ac:dyDescent="0.15">
      <c r="A590" s="24"/>
      <c r="B590" s="31"/>
      <c r="E590" s="2"/>
    </row>
    <row r="591" spans="1:5" ht="15" customHeight="1" x14ac:dyDescent="0.15">
      <c r="A591" s="24"/>
      <c r="B591" s="31"/>
      <c r="E591" s="2"/>
    </row>
    <row r="592" spans="1:5" ht="15" customHeight="1" x14ac:dyDescent="0.15">
      <c r="A592" s="24"/>
      <c r="B592" s="31"/>
      <c r="E592" s="2"/>
    </row>
    <row r="593" spans="1:5" ht="15" customHeight="1" x14ac:dyDescent="0.15">
      <c r="A593" s="24"/>
      <c r="B593" s="31"/>
      <c r="E593" s="2"/>
    </row>
    <row r="594" spans="1:5" ht="15" customHeight="1" x14ac:dyDescent="0.15">
      <c r="A594" s="24"/>
      <c r="B594" s="31"/>
      <c r="E594" s="2"/>
    </row>
    <row r="595" spans="1:5" ht="15" customHeight="1" x14ac:dyDescent="0.15">
      <c r="A595" s="24"/>
      <c r="B595" s="31"/>
      <c r="E595" s="2"/>
    </row>
    <row r="596" spans="1:5" ht="15" customHeight="1" x14ac:dyDescent="0.15">
      <c r="A596" s="24"/>
      <c r="B596" s="31"/>
      <c r="E596" s="2"/>
    </row>
    <row r="597" spans="1:5" ht="15" customHeight="1" x14ac:dyDescent="0.15">
      <c r="A597" s="24"/>
      <c r="B597" s="31"/>
      <c r="E597" s="2"/>
    </row>
    <row r="598" spans="1:5" ht="15" customHeight="1" x14ac:dyDescent="0.15">
      <c r="A598" s="24"/>
      <c r="B598" s="31"/>
      <c r="E598" s="2"/>
    </row>
    <row r="599" spans="1:5" ht="15" customHeight="1" x14ac:dyDescent="0.15">
      <c r="A599" s="24"/>
      <c r="B599" s="31"/>
      <c r="E599" s="2"/>
    </row>
    <row r="600" spans="1:5" ht="15" customHeight="1" x14ac:dyDescent="0.15">
      <c r="A600" s="24"/>
      <c r="B600" s="31"/>
      <c r="E600" s="2"/>
    </row>
    <row r="601" spans="1:5" ht="15" customHeight="1" x14ac:dyDescent="0.15">
      <c r="A601" s="24"/>
      <c r="B601" s="31"/>
      <c r="E601" s="2"/>
    </row>
    <row r="602" spans="1:5" ht="15" customHeight="1" x14ac:dyDescent="0.15">
      <c r="A602" s="24"/>
      <c r="B602" s="31"/>
      <c r="E602" s="2"/>
    </row>
    <row r="603" spans="1:5" ht="15" customHeight="1" x14ac:dyDescent="0.15">
      <c r="A603" s="24"/>
      <c r="B603" s="31"/>
      <c r="E603" s="2"/>
    </row>
    <row r="604" spans="1:5" ht="15" customHeight="1" x14ac:dyDescent="0.15">
      <c r="A604" s="24"/>
      <c r="B604" s="31"/>
      <c r="E604" s="2"/>
    </row>
    <row r="605" spans="1:5" ht="15" customHeight="1" x14ac:dyDescent="0.15">
      <c r="A605" s="24"/>
      <c r="B605" s="31"/>
      <c r="E605" s="2"/>
    </row>
    <row r="606" spans="1:5" ht="15" customHeight="1" x14ac:dyDescent="0.15">
      <c r="A606" s="24"/>
      <c r="B606" s="31"/>
      <c r="E606" s="2"/>
    </row>
    <row r="607" spans="1:5" ht="15" customHeight="1" x14ac:dyDescent="0.15">
      <c r="A607" s="24"/>
      <c r="B607" s="31"/>
      <c r="E607" s="2"/>
    </row>
    <row r="608" spans="1:5" ht="15" customHeight="1" x14ac:dyDescent="0.15">
      <c r="A608" s="24"/>
      <c r="B608" s="31"/>
      <c r="E608" s="2"/>
    </row>
    <row r="609" spans="1:5" ht="15" customHeight="1" x14ac:dyDescent="0.15">
      <c r="A609" s="24"/>
      <c r="B609" s="31"/>
      <c r="E609" s="2"/>
    </row>
    <row r="610" spans="1:5" ht="15" customHeight="1" x14ac:dyDescent="0.15">
      <c r="A610" s="24"/>
      <c r="B610" s="31"/>
      <c r="E610" s="2"/>
    </row>
    <row r="611" spans="1:5" ht="15" customHeight="1" x14ac:dyDescent="0.15">
      <c r="A611" s="24"/>
      <c r="B611" s="31"/>
      <c r="E611" s="2"/>
    </row>
    <row r="612" spans="1:5" ht="15" customHeight="1" x14ac:dyDescent="0.15">
      <c r="A612" s="24"/>
      <c r="B612" s="31"/>
      <c r="E612" s="2"/>
    </row>
    <row r="613" spans="1:5" ht="15" customHeight="1" x14ac:dyDescent="0.15">
      <c r="A613" s="24"/>
      <c r="B613" s="31"/>
      <c r="E613" s="2"/>
    </row>
    <row r="614" spans="1:5" ht="15" customHeight="1" x14ac:dyDescent="0.15">
      <c r="A614" s="24"/>
      <c r="B614" s="31"/>
      <c r="E614" s="2"/>
    </row>
    <row r="615" spans="1:5" ht="15" customHeight="1" x14ac:dyDescent="0.15">
      <c r="A615" s="24"/>
      <c r="B615" s="31"/>
      <c r="E615" s="2"/>
    </row>
    <row r="616" spans="1:5" ht="15" customHeight="1" x14ac:dyDescent="0.15">
      <c r="A616" s="24"/>
      <c r="B616" s="31"/>
      <c r="E616" s="2"/>
    </row>
    <row r="617" spans="1:5" ht="15" customHeight="1" x14ac:dyDescent="0.15">
      <c r="A617" s="24"/>
      <c r="B617" s="31"/>
      <c r="E617" s="2"/>
    </row>
    <row r="618" spans="1:5" ht="15" customHeight="1" x14ac:dyDescent="0.15">
      <c r="A618" s="24"/>
      <c r="B618" s="31"/>
      <c r="E618" s="2"/>
    </row>
    <row r="619" spans="1:5" ht="15" customHeight="1" x14ac:dyDescent="0.15">
      <c r="A619" s="24"/>
      <c r="B619" s="31"/>
      <c r="E619" s="2"/>
    </row>
    <row r="620" spans="1:5" ht="15" customHeight="1" x14ac:dyDescent="0.15">
      <c r="A620" s="24"/>
      <c r="B620" s="31"/>
      <c r="E620" s="2"/>
    </row>
    <row r="621" spans="1:5" ht="15" customHeight="1" x14ac:dyDescent="0.15">
      <c r="A621" s="24"/>
      <c r="B621" s="31"/>
      <c r="E621" s="2"/>
    </row>
    <row r="622" spans="1:5" ht="15" customHeight="1" x14ac:dyDescent="0.15">
      <c r="A622" s="24"/>
      <c r="B622" s="31"/>
      <c r="E622" s="2"/>
    </row>
    <row r="623" spans="1:5" ht="15" customHeight="1" x14ac:dyDescent="0.15">
      <c r="A623" s="24"/>
      <c r="B623" s="31"/>
      <c r="E623" s="2"/>
    </row>
    <row r="624" spans="1:5" ht="15" customHeight="1" x14ac:dyDescent="0.15">
      <c r="A624" s="24"/>
      <c r="B624" s="31"/>
      <c r="E624" s="2"/>
    </row>
    <row r="625" spans="1:5" ht="15" customHeight="1" x14ac:dyDescent="0.15">
      <c r="A625" s="24"/>
      <c r="B625" s="31"/>
      <c r="E625" s="2"/>
    </row>
    <row r="626" spans="1:5" ht="15" customHeight="1" x14ac:dyDescent="0.15">
      <c r="A626" s="24"/>
      <c r="B626" s="31"/>
      <c r="E626" s="2"/>
    </row>
    <row r="627" spans="1:5" ht="15" customHeight="1" x14ac:dyDescent="0.15">
      <c r="A627" s="24"/>
      <c r="B627" s="31"/>
      <c r="E627" s="2"/>
    </row>
    <row r="628" spans="1:5" ht="15" customHeight="1" x14ac:dyDescent="0.15">
      <c r="A628" s="24"/>
      <c r="B628" s="31"/>
      <c r="E628" s="2"/>
    </row>
    <row r="629" spans="1:5" ht="15" customHeight="1" x14ac:dyDescent="0.15">
      <c r="A629" s="24"/>
      <c r="B629" s="31"/>
      <c r="E629" s="2"/>
    </row>
    <row r="630" spans="1:5" ht="15" customHeight="1" x14ac:dyDescent="0.15">
      <c r="A630" s="24"/>
      <c r="B630" s="31"/>
      <c r="E630" s="2"/>
    </row>
    <row r="631" spans="1:5" ht="15" customHeight="1" x14ac:dyDescent="0.15">
      <c r="A631" s="24"/>
      <c r="B631" s="31"/>
      <c r="E631" s="2"/>
    </row>
    <row r="632" spans="1:5" ht="15" customHeight="1" x14ac:dyDescent="0.15">
      <c r="A632" s="24"/>
      <c r="B632" s="31"/>
      <c r="E632" s="2"/>
    </row>
    <row r="633" spans="1:5" ht="15" customHeight="1" x14ac:dyDescent="0.15">
      <c r="A633" s="24"/>
      <c r="B633" s="31"/>
      <c r="E633" s="2"/>
    </row>
    <row r="634" spans="1:5" ht="15" customHeight="1" x14ac:dyDescent="0.15">
      <c r="A634" s="24"/>
      <c r="B634" s="31"/>
      <c r="E634" s="2"/>
    </row>
    <row r="635" spans="1:5" ht="15" customHeight="1" x14ac:dyDescent="0.15">
      <c r="A635" s="24"/>
      <c r="B635" s="31"/>
      <c r="E635" s="2"/>
    </row>
    <row r="636" spans="1:5" ht="15" customHeight="1" x14ac:dyDescent="0.15">
      <c r="A636" s="24"/>
      <c r="B636" s="31"/>
      <c r="E636" s="2"/>
    </row>
    <row r="637" spans="1:5" ht="15" customHeight="1" x14ac:dyDescent="0.15">
      <c r="A637" s="24"/>
      <c r="B637" s="31"/>
      <c r="E637" s="2"/>
    </row>
    <row r="638" spans="1:5" ht="15" customHeight="1" x14ac:dyDescent="0.15">
      <c r="A638" s="24"/>
      <c r="B638" s="31"/>
      <c r="E638" s="2"/>
    </row>
    <row r="639" spans="1:5" ht="15" customHeight="1" x14ac:dyDescent="0.15">
      <c r="A639" s="24"/>
      <c r="B639" s="31"/>
      <c r="E639" s="2"/>
    </row>
    <row r="640" spans="1:5" ht="15" customHeight="1" x14ac:dyDescent="0.15">
      <c r="A640" s="24"/>
      <c r="B640" s="31"/>
      <c r="E640" s="2"/>
    </row>
    <row r="641" spans="1:5" ht="15" customHeight="1" x14ac:dyDescent="0.15">
      <c r="A641" s="24"/>
      <c r="B641" s="31"/>
      <c r="E641" s="2"/>
    </row>
    <row r="642" spans="1:5" ht="15" customHeight="1" x14ac:dyDescent="0.15">
      <c r="A642" s="24"/>
      <c r="B642" s="31"/>
      <c r="E642" s="2"/>
    </row>
    <row r="643" spans="1:5" ht="15" customHeight="1" x14ac:dyDescent="0.15">
      <c r="A643" s="24"/>
      <c r="B643" s="31"/>
      <c r="E643" s="2"/>
    </row>
    <row r="644" spans="1:5" ht="15" customHeight="1" x14ac:dyDescent="0.15">
      <c r="A644" s="24"/>
      <c r="B644" s="31"/>
      <c r="E644" s="2"/>
    </row>
    <row r="645" spans="1:5" ht="15" customHeight="1" x14ac:dyDescent="0.15">
      <c r="A645" s="24"/>
      <c r="B645" s="31"/>
      <c r="E645" s="2"/>
    </row>
    <row r="646" spans="1:5" ht="15" customHeight="1" x14ac:dyDescent="0.15">
      <c r="A646" s="24"/>
      <c r="B646" s="31"/>
      <c r="E646" s="2"/>
    </row>
    <row r="647" spans="1:5" ht="15" customHeight="1" x14ac:dyDescent="0.15">
      <c r="A647" s="24"/>
      <c r="B647" s="31"/>
      <c r="E647" s="2"/>
    </row>
    <row r="648" spans="1:5" ht="15" customHeight="1" x14ac:dyDescent="0.15">
      <c r="A648" s="24"/>
      <c r="B648" s="31"/>
      <c r="E648" s="2"/>
    </row>
    <row r="649" spans="1:5" ht="15" customHeight="1" x14ac:dyDescent="0.15">
      <c r="A649" s="24"/>
      <c r="B649" s="31"/>
      <c r="E649" s="2"/>
    </row>
    <row r="650" spans="1:5" ht="15" customHeight="1" x14ac:dyDescent="0.15">
      <c r="A650" s="24"/>
      <c r="B650" s="31"/>
      <c r="E650" s="2"/>
    </row>
    <row r="651" spans="1:5" ht="15" customHeight="1" x14ac:dyDescent="0.15">
      <c r="A651" s="24"/>
      <c r="B651" s="31"/>
      <c r="E651" s="2"/>
    </row>
    <row r="652" spans="1:5" ht="15" customHeight="1" x14ac:dyDescent="0.15">
      <c r="A652" s="24"/>
      <c r="B652" s="31"/>
      <c r="E652" s="2"/>
    </row>
    <row r="653" spans="1:5" ht="15" customHeight="1" x14ac:dyDescent="0.15">
      <c r="A653" s="24"/>
      <c r="B653" s="31"/>
      <c r="E653" s="2"/>
    </row>
    <row r="654" spans="1:5" ht="15" customHeight="1" x14ac:dyDescent="0.15">
      <c r="A654" s="24"/>
      <c r="B654" s="31"/>
      <c r="E654" s="2"/>
    </row>
    <row r="655" spans="1:5" ht="15" customHeight="1" x14ac:dyDescent="0.15">
      <c r="A655" s="24"/>
      <c r="B655" s="31"/>
      <c r="E655" s="2"/>
    </row>
    <row r="656" spans="1:5" ht="15" customHeight="1" x14ac:dyDescent="0.15">
      <c r="A656" s="24"/>
      <c r="B656" s="31"/>
      <c r="E656" s="2"/>
    </row>
    <row r="657" spans="1:5" ht="15" customHeight="1" x14ac:dyDescent="0.15">
      <c r="A657" s="24"/>
      <c r="B657" s="31"/>
      <c r="E657" s="2"/>
    </row>
    <row r="658" spans="1:5" ht="15" customHeight="1" x14ac:dyDescent="0.15">
      <c r="A658" s="24"/>
      <c r="B658" s="31"/>
      <c r="E658" s="2"/>
    </row>
    <row r="659" spans="1:5" ht="15" customHeight="1" x14ac:dyDescent="0.15">
      <c r="A659" s="24"/>
      <c r="B659" s="31"/>
      <c r="E659" s="2"/>
    </row>
    <row r="660" spans="1:5" ht="15" customHeight="1" x14ac:dyDescent="0.15">
      <c r="A660" s="24"/>
      <c r="B660" s="31"/>
      <c r="E660" s="2"/>
    </row>
    <row r="661" spans="1:5" ht="15" customHeight="1" x14ac:dyDescent="0.15">
      <c r="A661" s="24"/>
      <c r="B661" s="31"/>
      <c r="E661" s="2"/>
    </row>
    <row r="662" spans="1:5" ht="15" customHeight="1" x14ac:dyDescent="0.15">
      <c r="A662" s="24"/>
      <c r="B662" s="31"/>
      <c r="E662" s="2"/>
    </row>
    <row r="663" spans="1:5" ht="15" customHeight="1" x14ac:dyDescent="0.15">
      <c r="A663" s="24"/>
      <c r="B663" s="31"/>
      <c r="E663" s="2"/>
    </row>
    <row r="664" spans="1:5" ht="15" customHeight="1" x14ac:dyDescent="0.15">
      <c r="A664" s="24"/>
      <c r="B664" s="31"/>
      <c r="E664" s="2"/>
    </row>
    <row r="665" spans="1:5" ht="15" customHeight="1" x14ac:dyDescent="0.15">
      <c r="A665" s="24"/>
      <c r="B665" s="31"/>
      <c r="E665" s="2"/>
    </row>
    <row r="666" spans="1:5" ht="15" customHeight="1" x14ac:dyDescent="0.15">
      <c r="A666" s="24"/>
      <c r="B666" s="31"/>
      <c r="E666" s="2"/>
    </row>
    <row r="667" spans="1:5" ht="15" customHeight="1" x14ac:dyDescent="0.15">
      <c r="A667" s="24"/>
      <c r="B667" s="31"/>
      <c r="E667" s="2"/>
    </row>
    <row r="668" spans="1:5" ht="15" customHeight="1" x14ac:dyDescent="0.15">
      <c r="A668" s="24"/>
      <c r="B668" s="31"/>
      <c r="E668" s="2"/>
    </row>
    <row r="669" spans="1:5" ht="15" customHeight="1" x14ac:dyDescent="0.15">
      <c r="A669" s="24"/>
      <c r="B669" s="31"/>
      <c r="E669" s="2"/>
    </row>
    <row r="670" spans="1:5" ht="15" customHeight="1" x14ac:dyDescent="0.15">
      <c r="A670" s="24"/>
      <c r="B670" s="31"/>
      <c r="E670" s="2"/>
    </row>
    <row r="671" spans="1:5" ht="15" customHeight="1" x14ac:dyDescent="0.15">
      <c r="A671" s="24"/>
      <c r="B671" s="31"/>
      <c r="E671" s="2"/>
    </row>
    <row r="672" spans="1:5" ht="15" customHeight="1" x14ac:dyDescent="0.15">
      <c r="A672" s="24"/>
      <c r="B672" s="31"/>
      <c r="E672" s="2"/>
    </row>
    <row r="673" spans="1:5" ht="15" customHeight="1" x14ac:dyDescent="0.15">
      <c r="A673" s="24"/>
      <c r="B673" s="31"/>
      <c r="E673" s="2"/>
    </row>
    <row r="674" spans="1:5" ht="15" customHeight="1" x14ac:dyDescent="0.15">
      <c r="A674" s="24"/>
      <c r="B674" s="31"/>
      <c r="E674" s="2"/>
    </row>
    <row r="675" spans="1:5" ht="15" customHeight="1" x14ac:dyDescent="0.15">
      <c r="A675" s="24"/>
      <c r="B675" s="31"/>
      <c r="E675" s="2"/>
    </row>
    <row r="676" spans="1:5" ht="15" customHeight="1" x14ac:dyDescent="0.15">
      <c r="A676" s="24"/>
      <c r="B676" s="31"/>
      <c r="E676" s="2"/>
    </row>
    <row r="677" spans="1:5" ht="15" customHeight="1" x14ac:dyDescent="0.15">
      <c r="A677" s="24"/>
      <c r="B677" s="31"/>
      <c r="E677" s="2"/>
    </row>
    <row r="678" spans="1:5" ht="15" customHeight="1" x14ac:dyDescent="0.15">
      <c r="A678" s="24"/>
      <c r="B678" s="31"/>
      <c r="E678" s="2"/>
    </row>
    <row r="679" spans="1:5" ht="15" customHeight="1" x14ac:dyDescent="0.15">
      <c r="A679" s="24"/>
      <c r="B679" s="31"/>
      <c r="E679" s="2"/>
    </row>
    <row r="680" spans="1:5" ht="15" customHeight="1" x14ac:dyDescent="0.15">
      <c r="A680" s="24"/>
      <c r="B680" s="31"/>
      <c r="E680" s="2"/>
    </row>
    <row r="681" spans="1:5" ht="15" customHeight="1" x14ac:dyDescent="0.15">
      <c r="A681" s="24"/>
      <c r="B681" s="31"/>
      <c r="E681" s="2"/>
    </row>
    <row r="682" spans="1:5" ht="15" customHeight="1" x14ac:dyDescent="0.15">
      <c r="A682" s="24"/>
      <c r="B682" s="31"/>
      <c r="E682" s="2"/>
    </row>
    <row r="683" spans="1:5" ht="15" customHeight="1" x14ac:dyDescent="0.15">
      <c r="A683" s="24"/>
      <c r="B683" s="31"/>
      <c r="E683" s="2"/>
    </row>
    <row r="684" spans="1:5" ht="15" customHeight="1" x14ac:dyDescent="0.15">
      <c r="A684" s="24"/>
      <c r="B684" s="31"/>
      <c r="E684" s="2"/>
    </row>
    <row r="685" spans="1:5" ht="15" customHeight="1" x14ac:dyDescent="0.15">
      <c r="A685" s="24"/>
      <c r="B685" s="31"/>
      <c r="E685" s="2"/>
    </row>
    <row r="686" spans="1:5" ht="15" customHeight="1" x14ac:dyDescent="0.15">
      <c r="A686" s="24"/>
      <c r="B686" s="31"/>
      <c r="E686" s="2"/>
    </row>
    <row r="687" spans="1:5" ht="15" customHeight="1" x14ac:dyDescent="0.15">
      <c r="A687" s="24"/>
      <c r="B687" s="31"/>
      <c r="E687" s="2"/>
    </row>
    <row r="688" spans="1:5" ht="15" customHeight="1" x14ac:dyDescent="0.15">
      <c r="A688" s="24"/>
      <c r="B688" s="31"/>
      <c r="E688" s="2"/>
    </row>
    <row r="689" spans="1:5" ht="15" customHeight="1" x14ac:dyDescent="0.15">
      <c r="A689" s="24"/>
      <c r="B689" s="31"/>
      <c r="E689" s="2"/>
    </row>
    <row r="690" spans="1:5" ht="15" customHeight="1" x14ac:dyDescent="0.15">
      <c r="A690" s="24"/>
      <c r="B690" s="31"/>
      <c r="E690" s="2"/>
    </row>
    <row r="691" spans="1:5" ht="15" customHeight="1" x14ac:dyDescent="0.15">
      <c r="A691" s="24"/>
      <c r="B691" s="31"/>
      <c r="E691" s="2"/>
    </row>
    <row r="692" spans="1:5" ht="15" customHeight="1" x14ac:dyDescent="0.15">
      <c r="A692" s="24"/>
      <c r="B692" s="31"/>
      <c r="E692" s="2"/>
    </row>
    <row r="693" spans="1:5" ht="15" customHeight="1" x14ac:dyDescent="0.15">
      <c r="A693" s="24"/>
      <c r="B693" s="31"/>
      <c r="E693" s="2"/>
    </row>
    <row r="694" spans="1:5" ht="15" customHeight="1" x14ac:dyDescent="0.15">
      <c r="A694" s="24"/>
      <c r="B694" s="31"/>
      <c r="E694" s="2"/>
    </row>
    <row r="695" spans="1:5" ht="15" customHeight="1" x14ac:dyDescent="0.15">
      <c r="A695" s="24"/>
      <c r="B695" s="31"/>
      <c r="E695" s="2"/>
    </row>
    <row r="696" spans="1:5" ht="15" customHeight="1" x14ac:dyDescent="0.15">
      <c r="A696" s="24"/>
      <c r="B696" s="31"/>
      <c r="E696" s="2"/>
    </row>
    <row r="697" spans="1:5" ht="15" customHeight="1" x14ac:dyDescent="0.15">
      <c r="A697" s="24"/>
      <c r="B697" s="31"/>
      <c r="E697" s="2"/>
    </row>
    <row r="698" spans="1:5" ht="15" customHeight="1" x14ac:dyDescent="0.15">
      <c r="A698" s="24"/>
      <c r="B698" s="31"/>
      <c r="E698" s="2"/>
    </row>
    <row r="699" spans="1:5" ht="15" customHeight="1" x14ac:dyDescent="0.15">
      <c r="A699" s="24"/>
      <c r="B699" s="31"/>
      <c r="E699" s="2"/>
    </row>
    <row r="700" spans="1:5" ht="15" customHeight="1" x14ac:dyDescent="0.15">
      <c r="A700" s="24"/>
      <c r="B700" s="31"/>
      <c r="E700" s="2"/>
    </row>
    <row r="701" spans="1:5" ht="15" customHeight="1" x14ac:dyDescent="0.15">
      <c r="A701" s="24"/>
      <c r="B701" s="31"/>
      <c r="E701" s="2"/>
    </row>
    <row r="702" spans="1:5" ht="15" customHeight="1" x14ac:dyDescent="0.15">
      <c r="A702" s="24"/>
      <c r="B702" s="31"/>
      <c r="E702" s="2"/>
    </row>
    <row r="703" spans="1:5" ht="15" customHeight="1" x14ac:dyDescent="0.15">
      <c r="A703" s="24"/>
      <c r="B703" s="31"/>
      <c r="E703" s="2"/>
    </row>
    <row r="704" spans="1:5" ht="15" customHeight="1" x14ac:dyDescent="0.15">
      <c r="A704" s="24"/>
      <c r="B704" s="31"/>
      <c r="E704" s="2"/>
    </row>
    <row r="705" spans="1:5" ht="15" customHeight="1" x14ac:dyDescent="0.15">
      <c r="A705" s="24"/>
      <c r="B705" s="31"/>
      <c r="E705" s="2"/>
    </row>
    <row r="706" spans="1:5" ht="15" customHeight="1" x14ac:dyDescent="0.15">
      <c r="A706" s="24"/>
      <c r="B706" s="31"/>
      <c r="E706" s="2"/>
    </row>
    <row r="707" spans="1:5" ht="15" customHeight="1" x14ac:dyDescent="0.15">
      <c r="A707" s="24"/>
      <c r="B707" s="31"/>
      <c r="E707" s="2"/>
    </row>
    <row r="708" spans="1:5" ht="15" customHeight="1" x14ac:dyDescent="0.15">
      <c r="A708" s="24"/>
      <c r="B708" s="31"/>
      <c r="E708" s="2"/>
    </row>
    <row r="709" spans="1:5" ht="15" customHeight="1" x14ac:dyDescent="0.15">
      <c r="A709" s="24"/>
      <c r="B709" s="31"/>
      <c r="E709" s="2"/>
    </row>
    <row r="710" spans="1:5" ht="15" customHeight="1" x14ac:dyDescent="0.15">
      <c r="A710" s="24"/>
      <c r="B710" s="31"/>
      <c r="E710" s="2"/>
    </row>
    <row r="711" spans="1:5" ht="15" customHeight="1" x14ac:dyDescent="0.15">
      <c r="A711" s="24"/>
      <c r="B711" s="31"/>
      <c r="E711" s="2"/>
    </row>
    <row r="712" spans="1:5" ht="15" customHeight="1" x14ac:dyDescent="0.15">
      <c r="A712" s="24"/>
      <c r="B712" s="31"/>
      <c r="E712" s="2"/>
    </row>
    <row r="713" spans="1:5" ht="15" customHeight="1" x14ac:dyDescent="0.15">
      <c r="A713" s="24"/>
      <c r="B713" s="31"/>
      <c r="E713" s="2"/>
    </row>
    <row r="714" spans="1:5" ht="15" customHeight="1" x14ac:dyDescent="0.15">
      <c r="A714" s="24"/>
      <c r="B714" s="31"/>
      <c r="E714" s="2"/>
    </row>
    <row r="715" spans="1:5" ht="15" customHeight="1" x14ac:dyDescent="0.15">
      <c r="A715" s="24"/>
      <c r="B715" s="31"/>
      <c r="E715" s="2"/>
    </row>
    <row r="716" spans="1:5" ht="15" customHeight="1" x14ac:dyDescent="0.15">
      <c r="A716" s="24"/>
      <c r="B716" s="31"/>
      <c r="E716" s="2"/>
    </row>
    <row r="717" spans="1:5" ht="15" customHeight="1" x14ac:dyDescent="0.15">
      <c r="A717" s="24"/>
      <c r="B717" s="31"/>
      <c r="E717" s="2"/>
    </row>
    <row r="718" spans="1:5" ht="15" customHeight="1" x14ac:dyDescent="0.15">
      <c r="A718" s="24"/>
      <c r="B718" s="31"/>
      <c r="E718" s="2"/>
    </row>
    <row r="719" spans="1:5" ht="15" customHeight="1" x14ac:dyDescent="0.15">
      <c r="A719" s="24"/>
      <c r="B719" s="31"/>
      <c r="E719" s="2"/>
    </row>
    <row r="720" spans="1:5" ht="15" customHeight="1" x14ac:dyDescent="0.15">
      <c r="A720" s="24"/>
      <c r="B720" s="31"/>
      <c r="E720" s="2"/>
    </row>
    <row r="721" spans="1:5" ht="15" customHeight="1" x14ac:dyDescent="0.15">
      <c r="A721" s="24"/>
      <c r="B721" s="31"/>
      <c r="E721" s="2"/>
    </row>
    <row r="722" spans="1:5" ht="15" customHeight="1" x14ac:dyDescent="0.15">
      <c r="A722" s="24"/>
      <c r="B722" s="31"/>
      <c r="E722" s="2"/>
    </row>
    <row r="723" spans="1:5" ht="15" customHeight="1" x14ac:dyDescent="0.15">
      <c r="A723" s="24"/>
      <c r="B723" s="31"/>
      <c r="E723" s="2"/>
    </row>
    <row r="724" spans="1:5" ht="15" customHeight="1" x14ac:dyDescent="0.15">
      <c r="A724" s="24"/>
      <c r="B724" s="31"/>
      <c r="E724" s="2"/>
    </row>
    <row r="725" spans="1:5" ht="15" customHeight="1" x14ac:dyDescent="0.15">
      <c r="A725" s="24"/>
      <c r="B725" s="31"/>
      <c r="E725" s="2"/>
    </row>
    <row r="726" spans="1:5" ht="15" customHeight="1" x14ac:dyDescent="0.15">
      <c r="A726" s="24"/>
      <c r="B726" s="31"/>
      <c r="E726" s="2"/>
    </row>
    <row r="727" spans="1:5" ht="15" customHeight="1" x14ac:dyDescent="0.15">
      <c r="A727" s="24"/>
      <c r="B727" s="31"/>
      <c r="E727" s="2"/>
    </row>
    <row r="728" spans="1:5" ht="15" customHeight="1" x14ac:dyDescent="0.15">
      <c r="A728" s="24"/>
      <c r="B728" s="31"/>
      <c r="E728" s="2"/>
    </row>
    <row r="729" spans="1:5" ht="15" customHeight="1" x14ac:dyDescent="0.15">
      <c r="A729" s="24"/>
      <c r="B729" s="31"/>
      <c r="E729" s="2"/>
    </row>
    <row r="730" spans="1:5" ht="15" customHeight="1" x14ac:dyDescent="0.15">
      <c r="A730" s="24"/>
      <c r="B730" s="31"/>
      <c r="E730" s="2"/>
    </row>
    <row r="731" spans="1:5" ht="15" customHeight="1" x14ac:dyDescent="0.15">
      <c r="A731" s="24"/>
      <c r="B731" s="31"/>
      <c r="E731" s="2"/>
    </row>
    <row r="732" spans="1:5" ht="15" customHeight="1" x14ac:dyDescent="0.15">
      <c r="A732" s="24"/>
      <c r="B732" s="31"/>
      <c r="E732" s="2"/>
    </row>
    <row r="733" spans="1:5" ht="15" customHeight="1" x14ac:dyDescent="0.15">
      <c r="A733" s="24"/>
      <c r="B733" s="31"/>
      <c r="E733" s="2"/>
    </row>
    <row r="734" spans="1:5" ht="15" customHeight="1" x14ac:dyDescent="0.15">
      <c r="A734" s="24"/>
      <c r="B734" s="31"/>
      <c r="E734" s="2"/>
    </row>
    <row r="735" spans="1:5" ht="15" customHeight="1" x14ac:dyDescent="0.15">
      <c r="A735" s="24"/>
      <c r="B735" s="31"/>
      <c r="E735" s="2"/>
    </row>
    <row r="736" spans="1:5" ht="15" customHeight="1" x14ac:dyDescent="0.15">
      <c r="A736" s="24"/>
      <c r="B736" s="31"/>
      <c r="E736" s="2"/>
    </row>
    <row r="737" spans="1:5" ht="15" customHeight="1" x14ac:dyDescent="0.15">
      <c r="A737" s="24"/>
      <c r="B737" s="31"/>
      <c r="E737" s="2"/>
    </row>
    <row r="738" spans="1:5" ht="15" customHeight="1" x14ac:dyDescent="0.15">
      <c r="A738" s="24"/>
      <c r="B738" s="31"/>
      <c r="E738" s="2"/>
    </row>
    <row r="739" spans="1:5" ht="15" customHeight="1" x14ac:dyDescent="0.15">
      <c r="A739" s="24"/>
      <c r="B739" s="31"/>
      <c r="E739" s="2"/>
    </row>
    <row r="740" spans="1:5" ht="15" customHeight="1" x14ac:dyDescent="0.15">
      <c r="A740" s="24"/>
      <c r="B740" s="31"/>
      <c r="E740" s="2"/>
    </row>
    <row r="741" spans="1:5" ht="15" customHeight="1" x14ac:dyDescent="0.15">
      <c r="A741" s="24"/>
      <c r="B741" s="31"/>
      <c r="E741" s="2"/>
    </row>
    <row r="742" spans="1:5" ht="15" customHeight="1" x14ac:dyDescent="0.15">
      <c r="A742" s="24"/>
      <c r="B742" s="31"/>
      <c r="E742" s="2"/>
    </row>
    <row r="743" spans="1:5" ht="15" customHeight="1" x14ac:dyDescent="0.15">
      <c r="A743" s="24"/>
      <c r="B743" s="31"/>
      <c r="E743" s="2"/>
    </row>
    <row r="744" spans="1:5" ht="15" customHeight="1" x14ac:dyDescent="0.15">
      <c r="A744" s="24"/>
      <c r="B744" s="31"/>
      <c r="E744" s="2"/>
    </row>
    <row r="745" spans="1:5" ht="15" customHeight="1" x14ac:dyDescent="0.15">
      <c r="A745" s="24"/>
      <c r="B745" s="31"/>
      <c r="E745" s="2"/>
    </row>
    <row r="746" spans="1:5" ht="15" customHeight="1" x14ac:dyDescent="0.15">
      <c r="A746" s="24"/>
      <c r="B746" s="31"/>
      <c r="E746" s="2"/>
    </row>
    <row r="747" spans="1:5" ht="15" customHeight="1" x14ac:dyDescent="0.15">
      <c r="A747" s="24"/>
      <c r="B747" s="31"/>
      <c r="E747" s="2"/>
    </row>
    <row r="748" spans="1:5" ht="15" customHeight="1" x14ac:dyDescent="0.15">
      <c r="A748" s="24"/>
      <c r="B748" s="31"/>
      <c r="E748" s="2"/>
    </row>
    <row r="749" spans="1:5" ht="15" customHeight="1" x14ac:dyDescent="0.15">
      <c r="A749" s="24"/>
      <c r="B749" s="31"/>
      <c r="E749" s="2"/>
    </row>
    <row r="750" spans="1:5" ht="15" customHeight="1" x14ac:dyDescent="0.15">
      <c r="A750" s="24"/>
      <c r="B750" s="31"/>
      <c r="E750" s="2"/>
    </row>
    <row r="751" spans="1:5" ht="15" customHeight="1" x14ac:dyDescent="0.15">
      <c r="A751" s="24"/>
      <c r="B751" s="31"/>
      <c r="E751" s="2"/>
    </row>
    <row r="752" spans="1:5" ht="15" customHeight="1" x14ac:dyDescent="0.15">
      <c r="A752" s="24"/>
      <c r="B752" s="31"/>
      <c r="E752" s="2"/>
    </row>
    <row r="753" spans="1:5" ht="15" customHeight="1" x14ac:dyDescent="0.15">
      <c r="A753" s="24"/>
      <c r="B753" s="31"/>
      <c r="E753" s="2"/>
    </row>
    <row r="754" spans="1:5" ht="15" customHeight="1" x14ac:dyDescent="0.15">
      <c r="A754" s="24"/>
      <c r="B754" s="31"/>
      <c r="E754" s="2"/>
    </row>
    <row r="755" spans="1:5" ht="15" customHeight="1" x14ac:dyDescent="0.15">
      <c r="A755" s="24"/>
      <c r="B755" s="31"/>
      <c r="E755" s="2"/>
    </row>
    <row r="756" spans="1:5" ht="15" customHeight="1" x14ac:dyDescent="0.15">
      <c r="A756" s="24"/>
      <c r="B756" s="31"/>
      <c r="E756" s="2"/>
    </row>
    <row r="757" spans="1:5" ht="15" customHeight="1" x14ac:dyDescent="0.15">
      <c r="A757" s="24"/>
      <c r="B757" s="31"/>
      <c r="E757" s="2"/>
    </row>
    <row r="758" spans="1:5" ht="15" customHeight="1" x14ac:dyDescent="0.15">
      <c r="A758" s="24"/>
      <c r="B758" s="31"/>
      <c r="E758" s="2"/>
    </row>
    <row r="759" spans="1:5" ht="15" customHeight="1" x14ac:dyDescent="0.15">
      <c r="A759" s="24"/>
      <c r="B759" s="31"/>
      <c r="E759" s="2"/>
    </row>
    <row r="760" spans="1:5" ht="15" customHeight="1" x14ac:dyDescent="0.15">
      <c r="A760" s="24"/>
      <c r="B760" s="31"/>
      <c r="E760" s="2"/>
    </row>
    <row r="761" spans="1:5" ht="15" customHeight="1" x14ac:dyDescent="0.15">
      <c r="A761" s="24"/>
      <c r="B761" s="31"/>
      <c r="E761" s="2"/>
    </row>
    <row r="762" spans="1:5" ht="15" customHeight="1" x14ac:dyDescent="0.15">
      <c r="A762" s="24"/>
      <c r="B762" s="31"/>
      <c r="E762" s="2"/>
    </row>
    <row r="763" spans="1:5" ht="15" customHeight="1" x14ac:dyDescent="0.15">
      <c r="A763" s="24"/>
      <c r="B763" s="31"/>
      <c r="E763" s="2"/>
    </row>
    <row r="764" spans="1:5" ht="15" customHeight="1" x14ac:dyDescent="0.15">
      <c r="A764" s="24"/>
      <c r="B764" s="31"/>
      <c r="E764" s="2"/>
    </row>
    <row r="765" spans="1:5" ht="15" customHeight="1" x14ac:dyDescent="0.15">
      <c r="A765" s="24"/>
      <c r="B765" s="31"/>
      <c r="E765" s="2"/>
    </row>
    <row r="766" spans="1:5" ht="15" customHeight="1" x14ac:dyDescent="0.15">
      <c r="A766" s="24"/>
      <c r="B766" s="31"/>
      <c r="E766" s="2"/>
    </row>
    <row r="767" spans="1:5" ht="15" customHeight="1" x14ac:dyDescent="0.15">
      <c r="A767" s="24"/>
      <c r="B767" s="31"/>
      <c r="E767" s="2"/>
    </row>
    <row r="768" spans="1:5" ht="15" customHeight="1" x14ac:dyDescent="0.15">
      <c r="A768" s="24"/>
      <c r="B768" s="31"/>
      <c r="E768" s="2"/>
    </row>
    <row r="769" spans="1:5" ht="15" customHeight="1" x14ac:dyDescent="0.15">
      <c r="A769" s="24"/>
      <c r="B769" s="31"/>
      <c r="E769" s="2"/>
    </row>
    <row r="770" spans="1:5" ht="15" customHeight="1" x14ac:dyDescent="0.15">
      <c r="A770" s="24"/>
      <c r="B770" s="31"/>
      <c r="E770" s="2"/>
    </row>
    <row r="771" spans="1:5" ht="15" customHeight="1" x14ac:dyDescent="0.15">
      <c r="A771" s="24"/>
      <c r="B771" s="31"/>
      <c r="E771" s="2"/>
    </row>
    <row r="772" spans="1:5" ht="15" customHeight="1" x14ac:dyDescent="0.15">
      <c r="A772" s="24"/>
      <c r="B772" s="31"/>
      <c r="E772" s="2"/>
    </row>
    <row r="773" spans="1:5" ht="15" customHeight="1" x14ac:dyDescent="0.15">
      <c r="A773" s="24"/>
      <c r="B773" s="31"/>
      <c r="E773" s="2"/>
    </row>
    <row r="774" spans="1:5" ht="15" customHeight="1" x14ac:dyDescent="0.15">
      <c r="A774" s="24"/>
      <c r="B774" s="31"/>
      <c r="E774" s="2"/>
    </row>
    <row r="775" spans="1:5" ht="15" customHeight="1" x14ac:dyDescent="0.15">
      <c r="A775" s="24"/>
      <c r="B775" s="31"/>
      <c r="E775" s="2"/>
    </row>
    <row r="776" spans="1:5" ht="15" customHeight="1" x14ac:dyDescent="0.15">
      <c r="A776" s="24"/>
      <c r="B776" s="31"/>
      <c r="E776" s="2"/>
    </row>
    <row r="777" spans="1:5" ht="15" customHeight="1" x14ac:dyDescent="0.15">
      <c r="A777" s="24"/>
      <c r="B777" s="31"/>
      <c r="E777" s="2"/>
    </row>
    <row r="778" spans="1:5" ht="15" customHeight="1" x14ac:dyDescent="0.15">
      <c r="A778" s="24"/>
      <c r="B778" s="31"/>
      <c r="E778" s="2"/>
    </row>
    <row r="779" spans="1:5" ht="15" customHeight="1" x14ac:dyDescent="0.15">
      <c r="A779" s="24"/>
      <c r="B779" s="31"/>
      <c r="E779" s="2"/>
    </row>
    <row r="780" spans="1:5" ht="15" customHeight="1" x14ac:dyDescent="0.15">
      <c r="A780" s="24"/>
      <c r="B780" s="31"/>
      <c r="E780" s="2"/>
    </row>
    <row r="781" spans="1:5" ht="15" customHeight="1" x14ac:dyDescent="0.15">
      <c r="A781" s="24"/>
      <c r="B781" s="31"/>
      <c r="E781" s="2"/>
    </row>
    <row r="782" spans="1:5" ht="15" customHeight="1" x14ac:dyDescent="0.15">
      <c r="A782" s="24"/>
      <c r="B782" s="31"/>
      <c r="E782" s="2"/>
    </row>
    <row r="783" spans="1:5" ht="15" customHeight="1" x14ac:dyDescent="0.15">
      <c r="A783" s="24"/>
      <c r="B783" s="31"/>
      <c r="E783" s="2"/>
    </row>
    <row r="784" spans="1:5" ht="15" customHeight="1" x14ac:dyDescent="0.15">
      <c r="A784" s="24"/>
      <c r="B784" s="31"/>
      <c r="E784" s="2"/>
    </row>
    <row r="785" spans="1:5" ht="15" customHeight="1" x14ac:dyDescent="0.15">
      <c r="A785" s="24"/>
      <c r="B785" s="31"/>
      <c r="E785" s="2"/>
    </row>
    <row r="786" spans="1:5" ht="15" customHeight="1" x14ac:dyDescent="0.15">
      <c r="A786" s="24"/>
      <c r="B786" s="31"/>
      <c r="E786" s="2"/>
    </row>
    <row r="787" spans="1:5" ht="15" customHeight="1" x14ac:dyDescent="0.15">
      <c r="A787" s="24"/>
      <c r="B787" s="31"/>
      <c r="E787" s="2"/>
    </row>
    <row r="788" spans="1:5" ht="15" customHeight="1" x14ac:dyDescent="0.15">
      <c r="A788" s="24"/>
      <c r="B788" s="31"/>
      <c r="E788" s="2"/>
    </row>
    <row r="789" spans="1:5" ht="15" customHeight="1" x14ac:dyDescent="0.15">
      <c r="A789" s="24"/>
      <c r="B789" s="31"/>
      <c r="E789" s="2"/>
    </row>
    <row r="790" spans="1:5" ht="15" customHeight="1" x14ac:dyDescent="0.15">
      <c r="A790" s="24"/>
      <c r="B790" s="31"/>
      <c r="E790" s="2"/>
    </row>
    <row r="791" spans="1:5" ht="15" customHeight="1" x14ac:dyDescent="0.15">
      <c r="A791" s="24"/>
      <c r="B791" s="31"/>
      <c r="E791" s="2"/>
    </row>
    <row r="792" spans="1:5" ht="15" customHeight="1" x14ac:dyDescent="0.15">
      <c r="A792" s="24"/>
      <c r="B792" s="31"/>
      <c r="E792" s="2"/>
    </row>
    <row r="793" spans="1:5" ht="15" customHeight="1" x14ac:dyDescent="0.15">
      <c r="A793" s="24"/>
      <c r="B793" s="31"/>
      <c r="E793" s="2"/>
    </row>
    <row r="794" spans="1:5" ht="15" customHeight="1" x14ac:dyDescent="0.15">
      <c r="A794" s="24"/>
      <c r="B794" s="31"/>
      <c r="E794" s="2"/>
    </row>
    <row r="795" spans="1:5" ht="15" customHeight="1" x14ac:dyDescent="0.15">
      <c r="A795" s="24"/>
      <c r="B795" s="31"/>
      <c r="E795" s="2"/>
    </row>
    <row r="796" spans="1:5" ht="15" customHeight="1" x14ac:dyDescent="0.15">
      <c r="A796" s="24"/>
      <c r="B796" s="31"/>
      <c r="E796" s="2"/>
    </row>
    <row r="797" spans="1:5" ht="15" customHeight="1" x14ac:dyDescent="0.15">
      <c r="A797" s="24"/>
      <c r="B797" s="31"/>
      <c r="E797" s="2"/>
    </row>
    <row r="798" spans="1:5" ht="15" customHeight="1" x14ac:dyDescent="0.15">
      <c r="A798" s="24"/>
      <c r="B798" s="31"/>
      <c r="E798" s="2"/>
    </row>
    <row r="799" spans="1:5" ht="15" customHeight="1" x14ac:dyDescent="0.15">
      <c r="A799" s="24"/>
      <c r="B799" s="31"/>
      <c r="E799" s="2"/>
    </row>
    <row r="800" spans="1:5" ht="15" customHeight="1" x14ac:dyDescent="0.15">
      <c r="A800" s="24"/>
      <c r="B800" s="31"/>
      <c r="E800" s="2"/>
    </row>
    <row r="801" spans="1:5" ht="15" customHeight="1" x14ac:dyDescent="0.15">
      <c r="A801" s="24"/>
      <c r="B801" s="31"/>
      <c r="E801" s="2"/>
    </row>
    <row r="802" spans="1:5" ht="15" customHeight="1" x14ac:dyDescent="0.15">
      <c r="A802" s="24"/>
      <c r="B802" s="31"/>
      <c r="E802" s="2"/>
    </row>
    <row r="803" spans="1:5" ht="15" customHeight="1" x14ac:dyDescent="0.15">
      <c r="A803" s="24"/>
      <c r="B803" s="31"/>
      <c r="E803" s="2"/>
    </row>
    <row r="804" spans="1:5" ht="15" customHeight="1" x14ac:dyDescent="0.15">
      <c r="A804" s="24"/>
      <c r="B804" s="31"/>
      <c r="E804" s="2"/>
    </row>
    <row r="805" spans="1:5" ht="15" customHeight="1" x14ac:dyDescent="0.15">
      <c r="A805" s="24"/>
      <c r="B805" s="31"/>
      <c r="E805" s="2"/>
    </row>
    <row r="806" spans="1:5" ht="15" customHeight="1" x14ac:dyDescent="0.15">
      <c r="A806" s="24"/>
      <c r="B806" s="31"/>
      <c r="E806" s="2"/>
    </row>
    <row r="807" spans="1:5" ht="15" customHeight="1" x14ac:dyDescent="0.15">
      <c r="A807" s="24"/>
      <c r="B807" s="31"/>
      <c r="E807" s="2"/>
    </row>
    <row r="808" spans="1:5" ht="15" customHeight="1" x14ac:dyDescent="0.15">
      <c r="A808" s="24"/>
      <c r="B808" s="31"/>
      <c r="E808" s="2"/>
    </row>
    <row r="809" spans="1:5" ht="15" customHeight="1" x14ac:dyDescent="0.15">
      <c r="A809" s="24"/>
      <c r="B809" s="31"/>
      <c r="E809" s="2"/>
    </row>
    <row r="810" spans="1:5" ht="15" customHeight="1" x14ac:dyDescent="0.15">
      <c r="A810" s="24"/>
      <c r="B810" s="31"/>
      <c r="E810" s="2"/>
    </row>
    <row r="811" spans="1:5" ht="15" customHeight="1" x14ac:dyDescent="0.15">
      <c r="A811" s="24"/>
      <c r="B811" s="31"/>
      <c r="E811" s="2"/>
    </row>
    <row r="812" spans="1:5" ht="15" customHeight="1" x14ac:dyDescent="0.15">
      <c r="A812" s="24"/>
      <c r="B812" s="31"/>
      <c r="E812" s="2"/>
    </row>
    <row r="813" spans="1:5" ht="15" customHeight="1" x14ac:dyDescent="0.15">
      <c r="A813" s="24"/>
      <c r="B813" s="31"/>
      <c r="E813" s="2"/>
    </row>
    <row r="814" spans="1:5" ht="15" customHeight="1" x14ac:dyDescent="0.15">
      <c r="A814" s="24"/>
      <c r="B814" s="31"/>
      <c r="E814" s="2"/>
    </row>
    <row r="815" spans="1:5" ht="15" customHeight="1" x14ac:dyDescent="0.15">
      <c r="A815" s="24"/>
      <c r="B815" s="31"/>
      <c r="E815" s="2"/>
    </row>
    <row r="816" spans="1:5" ht="15" customHeight="1" x14ac:dyDescent="0.15">
      <c r="A816" s="24"/>
      <c r="B816" s="31"/>
      <c r="E816" s="2"/>
    </row>
    <row r="817" spans="1:5" ht="15" customHeight="1" x14ac:dyDescent="0.15">
      <c r="A817" s="24"/>
      <c r="B817" s="31"/>
      <c r="E817" s="2"/>
    </row>
    <row r="818" spans="1:5" ht="15" customHeight="1" x14ac:dyDescent="0.15">
      <c r="A818" s="24"/>
      <c r="B818" s="31"/>
      <c r="E818" s="2"/>
    </row>
    <row r="819" spans="1:5" ht="15" customHeight="1" x14ac:dyDescent="0.15">
      <c r="A819" s="24"/>
      <c r="B819" s="31"/>
      <c r="E819" s="2"/>
    </row>
    <row r="820" spans="1:5" ht="15" customHeight="1" x14ac:dyDescent="0.15">
      <c r="A820" s="24"/>
      <c r="B820" s="31"/>
      <c r="E820" s="2"/>
    </row>
    <row r="821" spans="1:5" ht="15" customHeight="1" x14ac:dyDescent="0.15">
      <c r="A821" s="24"/>
      <c r="B821" s="31"/>
      <c r="E821" s="2"/>
    </row>
    <row r="822" spans="1:5" ht="15" customHeight="1" x14ac:dyDescent="0.15">
      <c r="A822" s="24"/>
      <c r="B822" s="31"/>
      <c r="E822" s="2"/>
    </row>
    <row r="823" spans="1:5" ht="15" customHeight="1" x14ac:dyDescent="0.15">
      <c r="A823" s="24"/>
      <c r="B823" s="31"/>
      <c r="E823" s="2"/>
    </row>
    <row r="824" spans="1:5" ht="15" customHeight="1" x14ac:dyDescent="0.15">
      <c r="A824" s="24"/>
      <c r="B824" s="31"/>
      <c r="E824" s="2"/>
    </row>
    <row r="825" spans="1:5" ht="15" customHeight="1" x14ac:dyDescent="0.15">
      <c r="A825" s="24"/>
      <c r="B825" s="31"/>
      <c r="E825" s="2"/>
    </row>
    <row r="826" spans="1:5" ht="15" customHeight="1" x14ac:dyDescent="0.15">
      <c r="A826" s="24"/>
      <c r="B826" s="31"/>
      <c r="E826" s="2"/>
    </row>
    <row r="827" spans="1:5" ht="15" customHeight="1" x14ac:dyDescent="0.15">
      <c r="A827" s="24"/>
      <c r="B827" s="31"/>
      <c r="E827" s="2"/>
    </row>
    <row r="828" spans="1:5" ht="15" customHeight="1" x14ac:dyDescent="0.15">
      <c r="A828" s="24"/>
      <c r="B828" s="31"/>
      <c r="E828" s="2"/>
    </row>
    <row r="829" spans="1:5" ht="15" customHeight="1" x14ac:dyDescent="0.15">
      <c r="A829" s="24"/>
      <c r="B829" s="31"/>
      <c r="E829" s="2"/>
    </row>
    <row r="830" spans="1:5" ht="15" customHeight="1" x14ac:dyDescent="0.15">
      <c r="A830" s="24"/>
      <c r="B830" s="31"/>
      <c r="E830" s="2"/>
    </row>
    <row r="831" spans="1:5" ht="15" customHeight="1" x14ac:dyDescent="0.15">
      <c r="A831" s="24"/>
      <c r="B831" s="31"/>
      <c r="E831" s="2"/>
    </row>
    <row r="832" spans="1:5" ht="15" customHeight="1" x14ac:dyDescent="0.15">
      <c r="A832" s="24"/>
      <c r="B832" s="31"/>
      <c r="E832" s="2"/>
    </row>
    <row r="833" spans="1:5" ht="15" customHeight="1" x14ac:dyDescent="0.15">
      <c r="A833" s="24"/>
      <c r="B833" s="31"/>
      <c r="E833" s="2"/>
    </row>
    <row r="834" spans="1:5" ht="15" customHeight="1" x14ac:dyDescent="0.15">
      <c r="A834" s="24"/>
      <c r="B834" s="31"/>
      <c r="E834" s="2"/>
    </row>
    <row r="835" spans="1:5" ht="15" customHeight="1" x14ac:dyDescent="0.15">
      <c r="A835" s="24"/>
      <c r="B835" s="31"/>
      <c r="E835" s="2"/>
    </row>
    <row r="836" spans="1:5" ht="15" customHeight="1" x14ac:dyDescent="0.15">
      <c r="A836" s="24"/>
      <c r="B836" s="31"/>
      <c r="E836" s="2"/>
    </row>
    <row r="837" spans="1:5" ht="15" customHeight="1" x14ac:dyDescent="0.15">
      <c r="A837" s="24"/>
      <c r="B837" s="31"/>
      <c r="E837" s="2"/>
    </row>
    <row r="838" spans="1:5" ht="15" customHeight="1" x14ac:dyDescent="0.15">
      <c r="A838" s="24"/>
      <c r="B838" s="31"/>
      <c r="E838" s="2"/>
    </row>
    <row r="839" spans="1:5" ht="15" customHeight="1" x14ac:dyDescent="0.15">
      <c r="A839" s="24"/>
      <c r="B839" s="31"/>
      <c r="E839" s="2"/>
    </row>
    <row r="840" spans="1:5" ht="15" customHeight="1" x14ac:dyDescent="0.15">
      <c r="A840" s="24"/>
      <c r="B840" s="31"/>
      <c r="E840" s="2"/>
    </row>
    <row r="841" spans="1:5" ht="15" customHeight="1" x14ac:dyDescent="0.15">
      <c r="A841" s="24"/>
      <c r="B841" s="31"/>
      <c r="E841" s="2"/>
    </row>
    <row r="842" spans="1:5" ht="15" customHeight="1" x14ac:dyDescent="0.15">
      <c r="A842" s="24"/>
      <c r="B842" s="31"/>
      <c r="E842" s="2"/>
    </row>
    <row r="843" spans="1:5" ht="15" customHeight="1" x14ac:dyDescent="0.15">
      <c r="A843" s="24"/>
      <c r="B843" s="31"/>
      <c r="E843" s="2"/>
    </row>
    <row r="844" spans="1:5" ht="15" customHeight="1" x14ac:dyDescent="0.15">
      <c r="A844" s="24"/>
      <c r="B844" s="31"/>
      <c r="E844" s="2"/>
    </row>
    <row r="845" spans="1:5" ht="15" customHeight="1" x14ac:dyDescent="0.15">
      <c r="A845" s="24"/>
      <c r="B845" s="31"/>
      <c r="E845" s="2"/>
    </row>
    <row r="846" spans="1:5" ht="15" customHeight="1" x14ac:dyDescent="0.15">
      <c r="A846" s="24"/>
      <c r="B846" s="31"/>
      <c r="E846" s="2"/>
    </row>
    <row r="847" spans="1:5" ht="15" customHeight="1" x14ac:dyDescent="0.15">
      <c r="A847" s="24"/>
      <c r="B847" s="31"/>
      <c r="E847" s="2"/>
    </row>
    <row r="848" spans="1:5" ht="15" customHeight="1" x14ac:dyDescent="0.15">
      <c r="A848" s="24"/>
      <c r="B848" s="31"/>
      <c r="E848" s="2"/>
    </row>
    <row r="849" spans="1:5" ht="15" customHeight="1" x14ac:dyDescent="0.15">
      <c r="A849" s="24"/>
      <c r="B849" s="31"/>
      <c r="E849" s="2"/>
    </row>
    <row r="850" spans="1:5" ht="15" customHeight="1" x14ac:dyDescent="0.15">
      <c r="A850" s="24"/>
      <c r="B850" s="31"/>
      <c r="E850" s="2"/>
    </row>
    <row r="851" spans="1:5" ht="15" customHeight="1" x14ac:dyDescent="0.15">
      <c r="A851" s="24"/>
      <c r="B851" s="31"/>
      <c r="E851" s="2"/>
    </row>
    <row r="852" spans="1:5" ht="15" customHeight="1" x14ac:dyDescent="0.15">
      <c r="A852" s="24"/>
      <c r="B852" s="31"/>
      <c r="E852" s="2"/>
    </row>
    <row r="853" spans="1:5" ht="15" customHeight="1" x14ac:dyDescent="0.15">
      <c r="A853" s="24"/>
      <c r="B853" s="31"/>
      <c r="E853" s="2"/>
    </row>
    <row r="854" spans="1:5" ht="15" customHeight="1" x14ac:dyDescent="0.15">
      <c r="A854" s="24"/>
      <c r="B854" s="31"/>
      <c r="E854" s="2"/>
    </row>
    <row r="855" spans="1:5" ht="15" customHeight="1" x14ac:dyDescent="0.15">
      <c r="A855" s="24"/>
      <c r="B855" s="31"/>
      <c r="E855" s="2"/>
    </row>
    <row r="856" spans="1:5" ht="15" customHeight="1" x14ac:dyDescent="0.15">
      <c r="A856" s="24"/>
      <c r="B856" s="31"/>
      <c r="E856" s="2"/>
    </row>
    <row r="857" spans="1:5" ht="15" customHeight="1" x14ac:dyDescent="0.15">
      <c r="A857" s="24"/>
      <c r="B857" s="31"/>
      <c r="E857" s="2"/>
    </row>
    <row r="858" spans="1:5" ht="15" customHeight="1" x14ac:dyDescent="0.15">
      <c r="A858" s="24"/>
      <c r="B858" s="31"/>
      <c r="E858" s="2"/>
    </row>
    <row r="859" spans="1:5" ht="15" customHeight="1" x14ac:dyDescent="0.15">
      <c r="A859" s="24"/>
      <c r="B859" s="31"/>
      <c r="E859" s="2"/>
    </row>
    <row r="860" spans="1:5" ht="15" customHeight="1" x14ac:dyDescent="0.15">
      <c r="A860" s="24"/>
      <c r="B860" s="31"/>
      <c r="E860" s="2"/>
    </row>
    <row r="861" spans="1:5" ht="15" customHeight="1" x14ac:dyDescent="0.15">
      <c r="A861" s="24"/>
      <c r="B861" s="31"/>
      <c r="E861" s="2"/>
    </row>
    <row r="862" spans="1:5" ht="15" customHeight="1" x14ac:dyDescent="0.15">
      <c r="A862" s="24"/>
      <c r="B862" s="31"/>
      <c r="E862" s="2"/>
    </row>
    <row r="863" spans="1:5" ht="15" customHeight="1" x14ac:dyDescent="0.15">
      <c r="A863" s="24"/>
      <c r="B863" s="31"/>
      <c r="E863" s="2"/>
    </row>
    <row r="864" spans="1:5" ht="15" customHeight="1" x14ac:dyDescent="0.15">
      <c r="A864" s="24"/>
      <c r="B864" s="31"/>
      <c r="E864" s="2"/>
    </row>
    <row r="865" spans="1:5" ht="15" customHeight="1" x14ac:dyDescent="0.15">
      <c r="A865" s="24"/>
      <c r="B865" s="31"/>
      <c r="E865" s="2"/>
    </row>
    <row r="866" spans="1:5" ht="15" customHeight="1" x14ac:dyDescent="0.15">
      <c r="A866" s="24"/>
      <c r="B866" s="31"/>
      <c r="E866" s="2"/>
    </row>
    <row r="867" spans="1:5" ht="15" customHeight="1" x14ac:dyDescent="0.15">
      <c r="A867" s="24"/>
      <c r="B867" s="31"/>
      <c r="E867" s="2"/>
    </row>
    <row r="868" spans="1:5" ht="15" customHeight="1" x14ac:dyDescent="0.15">
      <c r="A868" s="24"/>
      <c r="B868" s="31"/>
      <c r="E868" s="2"/>
    </row>
    <row r="869" spans="1:5" ht="15" customHeight="1" x14ac:dyDescent="0.15">
      <c r="A869" s="24"/>
      <c r="B869" s="31"/>
      <c r="E869" s="2"/>
    </row>
    <row r="870" spans="1:5" ht="15" customHeight="1" x14ac:dyDescent="0.15">
      <c r="A870" s="24"/>
      <c r="B870" s="31"/>
      <c r="E870" s="2"/>
    </row>
    <row r="871" spans="1:5" ht="15" customHeight="1" x14ac:dyDescent="0.15">
      <c r="A871" s="24"/>
      <c r="B871" s="31"/>
      <c r="E871" s="2"/>
    </row>
    <row r="872" spans="1:5" ht="15" customHeight="1" x14ac:dyDescent="0.15">
      <c r="A872" s="24"/>
      <c r="B872" s="31"/>
      <c r="E872" s="2"/>
    </row>
    <row r="873" spans="1:5" ht="15" customHeight="1" x14ac:dyDescent="0.15">
      <c r="A873" s="24"/>
      <c r="B873" s="31"/>
      <c r="E873" s="2"/>
    </row>
    <row r="874" spans="1:5" ht="15" customHeight="1" x14ac:dyDescent="0.15">
      <c r="A874" s="24"/>
      <c r="B874" s="31"/>
      <c r="E874" s="2"/>
    </row>
    <row r="875" spans="1:5" ht="15" customHeight="1" x14ac:dyDescent="0.15">
      <c r="A875" s="24"/>
      <c r="B875" s="31"/>
      <c r="E875" s="2"/>
    </row>
    <row r="876" spans="1:5" ht="15" customHeight="1" x14ac:dyDescent="0.15">
      <c r="A876" s="24"/>
      <c r="B876" s="31"/>
      <c r="E876" s="2"/>
    </row>
    <row r="877" spans="1:5" ht="15" customHeight="1" x14ac:dyDescent="0.15">
      <c r="A877" s="24"/>
      <c r="B877" s="31"/>
      <c r="E877" s="2"/>
    </row>
    <row r="878" spans="1:5" ht="15" customHeight="1" x14ac:dyDescent="0.15">
      <c r="A878" s="24"/>
      <c r="B878" s="31"/>
      <c r="E878" s="2"/>
    </row>
    <row r="879" spans="1:5" ht="15" customHeight="1" x14ac:dyDescent="0.15">
      <c r="A879" s="24"/>
      <c r="B879" s="31"/>
      <c r="E879" s="2"/>
    </row>
    <row r="880" spans="1:5" ht="15" customHeight="1" x14ac:dyDescent="0.15">
      <c r="A880" s="24"/>
      <c r="B880" s="31"/>
      <c r="E880" s="2"/>
    </row>
    <row r="881" spans="1:5" ht="15" customHeight="1" x14ac:dyDescent="0.15">
      <c r="A881" s="24"/>
      <c r="B881" s="31"/>
      <c r="E881" s="2"/>
    </row>
    <row r="882" spans="1:5" ht="15" customHeight="1" x14ac:dyDescent="0.15">
      <c r="A882" s="24"/>
      <c r="B882" s="31"/>
      <c r="E882" s="2"/>
    </row>
    <row r="883" spans="1:5" ht="15" customHeight="1" x14ac:dyDescent="0.15">
      <c r="A883" s="24"/>
      <c r="B883" s="31"/>
      <c r="E883" s="2"/>
    </row>
    <row r="884" spans="1:5" ht="15" customHeight="1" x14ac:dyDescent="0.15">
      <c r="A884" s="24"/>
      <c r="B884" s="31"/>
      <c r="E884" s="2"/>
    </row>
    <row r="885" spans="1:5" ht="15" customHeight="1" x14ac:dyDescent="0.15">
      <c r="A885" s="24"/>
      <c r="B885" s="31"/>
      <c r="E885" s="2"/>
    </row>
    <row r="886" spans="1:5" ht="15" customHeight="1" x14ac:dyDescent="0.15">
      <c r="A886" s="24"/>
      <c r="B886" s="31"/>
      <c r="E886" s="2"/>
    </row>
    <row r="887" spans="1:5" ht="15" customHeight="1" x14ac:dyDescent="0.15">
      <c r="A887" s="24"/>
      <c r="B887" s="31"/>
      <c r="E887" s="2"/>
    </row>
    <row r="888" spans="1:5" ht="15" customHeight="1" x14ac:dyDescent="0.15">
      <c r="A888" s="24"/>
      <c r="B888" s="31"/>
      <c r="E888" s="2"/>
    </row>
    <row r="889" spans="1:5" ht="15" customHeight="1" x14ac:dyDescent="0.15">
      <c r="A889" s="24"/>
      <c r="B889" s="31"/>
      <c r="E889" s="2"/>
    </row>
    <row r="890" spans="1:5" ht="15" customHeight="1" x14ac:dyDescent="0.15">
      <c r="A890" s="24"/>
      <c r="B890" s="31"/>
      <c r="E890" s="2"/>
    </row>
    <row r="891" spans="1:5" ht="15" customHeight="1" x14ac:dyDescent="0.15">
      <c r="A891" s="24"/>
      <c r="B891" s="31"/>
      <c r="E891" s="2"/>
    </row>
    <row r="892" spans="1:5" ht="15" customHeight="1" x14ac:dyDescent="0.15">
      <c r="A892" s="24"/>
      <c r="B892" s="31"/>
      <c r="E892" s="2"/>
    </row>
    <row r="893" spans="1:5" ht="15" customHeight="1" x14ac:dyDescent="0.15">
      <c r="A893" s="24"/>
      <c r="B893" s="31"/>
      <c r="E893" s="2"/>
    </row>
    <row r="894" spans="1:5" ht="15" customHeight="1" x14ac:dyDescent="0.15">
      <c r="A894" s="24"/>
      <c r="B894" s="31"/>
      <c r="E894" s="2"/>
    </row>
    <row r="895" spans="1:5" ht="15" customHeight="1" x14ac:dyDescent="0.15">
      <c r="A895" s="24"/>
      <c r="B895" s="31"/>
      <c r="E895" s="2"/>
    </row>
    <row r="896" spans="1:5" ht="15" customHeight="1" x14ac:dyDescent="0.15">
      <c r="A896" s="24"/>
      <c r="B896" s="31"/>
      <c r="E896" s="2"/>
    </row>
    <row r="897" spans="1:5" ht="15" customHeight="1" x14ac:dyDescent="0.15">
      <c r="A897" s="24"/>
      <c r="B897" s="31"/>
      <c r="E897" s="2"/>
    </row>
    <row r="898" spans="1:5" ht="15" customHeight="1" x14ac:dyDescent="0.15">
      <c r="A898" s="24"/>
      <c r="B898" s="31"/>
      <c r="E898" s="2"/>
    </row>
    <row r="899" spans="1:5" ht="15" customHeight="1" x14ac:dyDescent="0.15">
      <c r="A899" s="24"/>
      <c r="B899" s="31"/>
      <c r="E899" s="2"/>
    </row>
    <row r="900" spans="1:5" ht="15" customHeight="1" x14ac:dyDescent="0.15">
      <c r="A900" s="24"/>
      <c r="B900" s="31"/>
      <c r="E900" s="2"/>
    </row>
    <row r="901" spans="1:5" ht="15" customHeight="1" x14ac:dyDescent="0.15">
      <c r="A901" s="24"/>
      <c r="B901" s="31"/>
      <c r="E901" s="2"/>
    </row>
    <row r="902" spans="1:5" ht="15" customHeight="1" x14ac:dyDescent="0.15">
      <c r="A902" s="24"/>
      <c r="B902" s="31"/>
      <c r="E902" s="2"/>
    </row>
    <row r="903" spans="1:5" ht="15" customHeight="1" x14ac:dyDescent="0.15">
      <c r="A903" s="24"/>
      <c r="B903" s="31"/>
      <c r="E903" s="2"/>
    </row>
    <row r="904" spans="1:5" ht="15" customHeight="1" x14ac:dyDescent="0.15">
      <c r="A904" s="24"/>
      <c r="B904" s="31"/>
      <c r="E904" s="2"/>
    </row>
    <row r="905" spans="1:5" ht="15" customHeight="1" x14ac:dyDescent="0.15">
      <c r="A905" s="24"/>
      <c r="B905" s="31"/>
      <c r="E905" s="2"/>
    </row>
    <row r="906" spans="1:5" ht="15" customHeight="1" x14ac:dyDescent="0.15">
      <c r="A906" s="24"/>
      <c r="B906" s="31"/>
      <c r="E906" s="2"/>
    </row>
    <row r="907" spans="1:5" ht="15" customHeight="1" x14ac:dyDescent="0.15">
      <c r="A907" s="24"/>
      <c r="B907" s="31"/>
      <c r="E907" s="2"/>
    </row>
    <row r="908" spans="1:5" ht="15" customHeight="1" x14ac:dyDescent="0.15">
      <c r="A908" s="24"/>
      <c r="B908" s="31"/>
      <c r="E908" s="2"/>
    </row>
    <row r="909" spans="1:5" ht="15" customHeight="1" x14ac:dyDescent="0.15">
      <c r="A909" s="24"/>
      <c r="B909" s="31"/>
      <c r="E909" s="2"/>
    </row>
    <row r="910" spans="1:5" ht="15" customHeight="1" x14ac:dyDescent="0.15">
      <c r="A910" s="24"/>
      <c r="B910" s="31"/>
      <c r="E910" s="2"/>
    </row>
    <row r="911" spans="1:5" ht="15" customHeight="1" x14ac:dyDescent="0.15">
      <c r="A911" s="24"/>
      <c r="B911" s="31"/>
      <c r="E911" s="2"/>
    </row>
    <row r="912" spans="1:5" ht="15" customHeight="1" x14ac:dyDescent="0.15">
      <c r="A912" s="24"/>
      <c r="B912" s="31"/>
      <c r="E912" s="2"/>
    </row>
    <row r="913" spans="1:5" ht="15" customHeight="1" x14ac:dyDescent="0.15">
      <c r="A913" s="24"/>
      <c r="B913" s="31"/>
      <c r="E913" s="2"/>
    </row>
    <row r="914" spans="1:5" ht="15" customHeight="1" x14ac:dyDescent="0.15">
      <c r="A914" s="24"/>
      <c r="B914" s="31"/>
      <c r="E914" s="2"/>
    </row>
    <row r="915" spans="1:5" ht="15" customHeight="1" x14ac:dyDescent="0.15">
      <c r="A915" s="24"/>
      <c r="B915" s="31"/>
      <c r="E915" s="2"/>
    </row>
    <row r="916" spans="1:5" ht="15" customHeight="1" x14ac:dyDescent="0.15">
      <c r="A916" s="24"/>
      <c r="B916" s="31"/>
      <c r="E916" s="2"/>
    </row>
    <row r="917" spans="1:5" ht="15" customHeight="1" x14ac:dyDescent="0.15">
      <c r="A917" s="24"/>
      <c r="B917" s="31"/>
      <c r="E917" s="2"/>
    </row>
    <row r="918" spans="1:5" ht="15" customHeight="1" x14ac:dyDescent="0.15">
      <c r="A918" s="24"/>
      <c r="B918" s="31"/>
      <c r="E918" s="2"/>
    </row>
    <row r="919" spans="1:5" ht="15" customHeight="1" x14ac:dyDescent="0.15">
      <c r="A919" s="24"/>
      <c r="B919" s="31"/>
      <c r="E919" s="2"/>
    </row>
    <row r="920" spans="1:5" ht="15" customHeight="1" x14ac:dyDescent="0.15">
      <c r="A920" s="24"/>
      <c r="B920" s="31"/>
      <c r="E920" s="2"/>
    </row>
    <row r="921" spans="1:5" ht="15" customHeight="1" x14ac:dyDescent="0.15">
      <c r="A921" s="24"/>
      <c r="B921" s="31"/>
      <c r="E921" s="2"/>
    </row>
    <row r="922" spans="1:5" ht="15" customHeight="1" x14ac:dyDescent="0.15">
      <c r="A922" s="24"/>
      <c r="B922" s="31"/>
      <c r="E922" s="2"/>
    </row>
    <row r="923" spans="1:5" ht="15" customHeight="1" x14ac:dyDescent="0.15">
      <c r="A923" s="24"/>
      <c r="B923" s="31"/>
      <c r="E923" s="2"/>
    </row>
    <row r="924" spans="1:5" ht="15" customHeight="1" x14ac:dyDescent="0.15">
      <c r="A924" s="24"/>
      <c r="B924" s="31"/>
      <c r="E924" s="2"/>
    </row>
    <row r="925" spans="1:5" ht="15" customHeight="1" x14ac:dyDescent="0.15">
      <c r="A925" s="24"/>
      <c r="B925" s="31"/>
      <c r="E925" s="2"/>
    </row>
    <row r="926" spans="1:5" ht="15" customHeight="1" x14ac:dyDescent="0.15">
      <c r="A926" s="24"/>
      <c r="B926" s="31"/>
      <c r="E926" s="2"/>
    </row>
    <row r="927" spans="1:5" ht="15" customHeight="1" x14ac:dyDescent="0.15">
      <c r="A927" s="24"/>
      <c r="B927" s="31"/>
      <c r="E927" s="2"/>
    </row>
    <row r="928" spans="1:5" ht="15" customHeight="1" x14ac:dyDescent="0.15">
      <c r="A928" s="24"/>
      <c r="B928" s="31"/>
      <c r="E928" s="2"/>
    </row>
    <row r="929" spans="1:5" ht="15" customHeight="1" x14ac:dyDescent="0.15">
      <c r="A929" s="24"/>
      <c r="B929" s="31"/>
      <c r="E929" s="2"/>
    </row>
    <row r="930" spans="1:5" ht="15" customHeight="1" x14ac:dyDescent="0.15">
      <c r="A930" s="24"/>
      <c r="B930" s="31"/>
      <c r="E930" s="2"/>
    </row>
    <row r="931" spans="1:5" ht="15" customHeight="1" x14ac:dyDescent="0.15">
      <c r="A931" s="24"/>
      <c r="B931" s="31"/>
      <c r="E931" s="2"/>
    </row>
    <row r="932" spans="1:5" ht="15" customHeight="1" x14ac:dyDescent="0.15">
      <c r="A932" s="24"/>
      <c r="B932" s="31"/>
      <c r="E932" s="2"/>
    </row>
    <row r="933" spans="1:5" ht="15" customHeight="1" x14ac:dyDescent="0.15">
      <c r="A933" s="24"/>
      <c r="B933" s="31"/>
      <c r="E933" s="2"/>
    </row>
    <row r="934" spans="1:5" ht="15" customHeight="1" x14ac:dyDescent="0.15">
      <c r="A934" s="24"/>
      <c r="B934" s="31"/>
      <c r="E934" s="2"/>
    </row>
    <row r="935" spans="1:5" ht="15" customHeight="1" x14ac:dyDescent="0.15">
      <c r="A935" s="24"/>
      <c r="B935" s="31"/>
      <c r="E935" s="2"/>
    </row>
    <row r="936" spans="1:5" ht="15" customHeight="1" x14ac:dyDescent="0.15">
      <c r="A936" s="24"/>
      <c r="B936" s="31"/>
      <c r="E936" s="2"/>
    </row>
    <row r="937" spans="1:5" ht="15" customHeight="1" x14ac:dyDescent="0.15">
      <c r="A937" s="24"/>
      <c r="B937" s="31"/>
      <c r="E937" s="2"/>
    </row>
    <row r="938" spans="1:5" ht="15" customHeight="1" x14ac:dyDescent="0.15">
      <c r="A938" s="24"/>
      <c r="B938" s="31"/>
      <c r="E938" s="2"/>
    </row>
    <row r="939" spans="1:5" ht="15" customHeight="1" x14ac:dyDescent="0.15">
      <c r="A939" s="24"/>
      <c r="B939" s="31"/>
      <c r="E939" s="2"/>
    </row>
    <row r="940" spans="1:5" ht="15" customHeight="1" x14ac:dyDescent="0.15">
      <c r="A940" s="24"/>
      <c r="B940" s="31"/>
      <c r="E940" s="2"/>
    </row>
    <row r="941" spans="1:5" ht="15" customHeight="1" x14ac:dyDescent="0.15">
      <c r="A941" s="24"/>
      <c r="B941" s="31"/>
      <c r="E941" s="2"/>
    </row>
    <row r="942" spans="1:5" ht="15" customHeight="1" x14ac:dyDescent="0.15">
      <c r="A942" s="24"/>
      <c r="B942" s="31"/>
      <c r="E942" s="2"/>
    </row>
    <row r="943" spans="1:5" ht="15" customHeight="1" x14ac:dyDescent="0.15">
      <c r="A943" s="24"/>
      <c r="B943" s="31"/>
      <c r="E943" s="2"/>
    </row>
    <row r="944" spans="1:5" ht="15" customHeight="1" x14ac:dyDescent="0.15">
      <c r="A944" s="24"/>
      <c r="B944" s="31"/>
      <c r="E944" s="2"/>
    </row>
    <row r="945" spans="1:5" ht="15" customHeight="1" x14ac:dyDescent="0.15">
      <c r="A945" s="24"/>
      <c r="B945" s="31"/>
      <c r="E945" s="2"/>
    </row>
    <row r="946" spans="1:5" ht="15" customHeight="1" x14ac:dyDescent="0.15">
      <c r="A946" s="24"/>
      <c r="B946" s="31"/>
      <c r="E946" s="2"/>
    </row>
    <row r="947" spans="1:5" ht="15" customHeight="1" x14ac:dyDescent="0.15">
      <c r="A947" s="24"/>
      <c r="B947" s="31"/>
      <c r="E947" s="2"/>
    </row>
    <row r="948" spans="1:5" ht="15" customHeight="1" x14ac:dyDescent="0.15">
      <c r="A948" s="24"/>
      <c r="B948" s="31"/>
      <c r="E948" s="2"/>
    </row>
    <row r="949" spans="1:5" ht="15" customHeight="1" x14ac:dyDescent="0.15">
      <c r="A949" s="24"/>
      <c r="B949" s="31"/>
      <c r="E949" s="2"/>
    </row>
    <row r="950" spans="1:5" ht="15" customHeight="1" x14ac:dyDescent="0.15">
      <c r="A950" s="24"/>
      <c r="B950" s="31"/>
      <c r="E950" s="2"/>
    </row>
    <row r="951" spans="1:5" ht="15" customHeight="1" x14ac:dyDescent="0.15">
      <c r="A951" s="24"/>
      <c r="B951" s="31"/>
      <c r="E951" s="2"/>
    </row>
    <row r="952" spans="1:5" ht="15" customHeight="1" x14ac:dyDescent="0.15">
      <c r="A952" s="24"/>
      <c r="B952" s="31"/>
      <c r="E952" s="2"/>
    </row>
    <row r="953" spans="1:5" ht="15" customHeight="1" x14ac:dyDescent="0.15">
      <c r="A953" s="24"/>
      <c r="B953" s="31"/>
      <c r="E953" s="2"/>
    </row>
    <row r="954" spans="1:5" ht="15" customHeight="1" x14ac:dyDescent="0.15">
      <c r="A954" s="24"/>
      <c r="B954" s="31"/>
      <c r="E954" s="2"/>
    </row>
    <row r="955" spans="1:5" ht="15" customHeight="1" x14ac:dyDescent="0.15">
      <c r="A955" s="24"/>
      <c r="B955" s="31"/>
      <c r="E955" s="2"/>
    </row>
    <row r="956" spans="1:5" ht="15" customHeight="1" x14ac:dyDescent="0.15">
      <c r="A956" s="24"/>
      <c r="B956" s="31"/>
      <c r="E956" s="2"/>
    </row>
    <row r="957" spans="1:5" ht="15" customHeight="1" x14ac:dyDescent="0.15">
      <c r="A957" s="24"/>
      <c r="B957" s="31"/>
      <c r="E957" s="2"/>
    </row>
    <row r="958" spans="1:5" ht="15" customHeight="1" x14ac:dyDescent="0.15">
      <c r="A958" s="24"/>
      <c r="B958" s="31"/>
      <c r="E958" s="2"/>
    </row>
    <row r="959" spans="1:5" ht="15" customHeight="1" x14ac:dyDescent="0.15">
      <c r="A959" s="24"/>
      <c r="B959" s="31"/>
      <c r="E959" s="2"/>
    </row>
    <row r="960" spans="1:5" ht="15" customHeight="1" x14ac:dyDescent="0.15">
      <c r="A960" s="24"/>
      <c r="B960" s="31"/>
      <c r="E960" s="2"/>
    </row>
    <row r="961" spans="1:5" ht="15" customHeight="1" x14ac:dyDescent="0.15">
      <c r="A961" s="24"/>
      <c r="B961" s="31"/>
      <c r="E961" s="2"/>
    </row>
    <row r="962" spans="1:5" ht="15" customHeight="1" x14ac:dyDescent="0.15">
      <c r="A962" s="24"/>
      <c r="B962" s="31"/>
      <c r="E962" s="2"/>
    </row>
    <row r="963" spans="1:5" ht="15" customHeight="1" x14ac:dyDescent="0.15">
      <c r="A963" s="24"/>
      <c r="B963" s="31"/>
      <c r="E963" s="2"/>
    </row>
    <row r="964" spans="1:5" ht="15" customHeight="1" x14ac:dyDescent="0.15">
      <c r="A964" s="24"/>
      <c r="B964" s="31"/>
      <c r="E964" s="2"/>
    </row>
    <row r="965" spans="1:5" ht="15" customHeight="1" x14ac:dyDescent="0.15">
      <c r="A965" s="24"/>
      <c r="B965" s="31"/>
      <c r="E965" s="2"/>
    </row>
    <row r="966" spans="1:5" ht="15" customHeight="1" x14ac:dyDescent="0.15">
      <c r="A966" s="24"/>
      <c r="B966" s="31"/>
      <c r="E966" s="2"/>
    </row>
    <row r="967" spans="1:5" ht="15" customHeight="1" x14ac:dyDescent="0.15">
      <c r="A967" s="24"/>
      <c r="B967" s="31"/>
      <c r="E967" s="2"/>
    </row>
    <row r="968" spans="1:5" ht="15" customHeight="1" x14ac:dyDescent="0.15">
      <c r="A968" s="24"/>
      <c r="B968" s="31"/>
      <c r="E968" s="2"/>
    </row>
    <row r="969" spans="1:5" ht="15" customHeight="1" x14ac:dyDescent="0.15">
      <c r="A969" s="24"/>
      <c r="B969" s="31"/>
      <c r="E969" s="2"/>
    </row>
    <row r="970" spans="1:5" ht="15" customHeight="1" x14ac:dyDescent="0.15">
      <c r="A970" s="24"/>
      <c r="B970" s="31"/>
      <c r="E970" s="2"/>
    </row>
    <row r="971" spans="1:5" ht="15" customHeight="1" x14ac:dyDescent="0.15">
      <c r="A971" s="24"/>
      <c r="B971" s="31"/>
      <c r="E971" s="2"/>
    </row>
    <row r="972" spans="1:5" ht="15" customHeight="1" x14ac:dyDescent="0.15">
      <c r="A972" s="24"/>
      <c r="B972" s="31"/>
      <c r="E972" s="2"/>
    </row>
    <row r="973" spans="1:5" ht="15" customHeight="1" x14ac:dyDescent="0.15">
      <c r="A973" s="24"/>
      <c r="B973" s="31"/>
      <c r="E973" s="2"/>
    </row>
    <row r="974" spans="1:5" ht="15" customHeight="1" x14ac:dyDescent="0.15">
      <c r="A974" s="24"/>
      <c r="B974" s="31"/>
      <c r="E974" s="2"/>
    </row>
    <row r="975" spans="1:5" ht="15" customHeight="1" x14ac:dyDescent="0.15">
      <c r="A975" s="24"/>
      <c r="B975" s="31"/>
      <c r="E975" s="2"/>
    </row>
    <row r="976" spans="1:5" ht="15" customHeight="1" x14ac:dyDescent="0.15">
      <c r="A976" s="24"/>
      <c r="B976" s="31"/>
      <c r="E976" s="2"/>
    </row>
    <row r="977" spans="1:5" ht="15" customHeight="1" x14ac:dyDescent="0.15">
      <c r="A977" s="24"/>
      <c r="B977" s="31"/>
      <c r="E977" s="2"/>
    </row>
    <row r="978" spans="1:5" ht="15" customHeight="1" x14ac:dyDescent="0.15">
      <c r="A978" s="24"/>
      <c r="B978" s="31"/>
      <c r="E978" s="2"/>
    </row>
    <row r="979" spans="1:5" ht="15" customHeight="1" x14ac:dyDescent="0.15">
      <c r="A979" s="24"/>
      <c r="B979" s="31"/>
      <c r="E979" s="2"/>
    </row>
    <row r="980" spans="1:5" ht="15" customHeight="1" x14ac:dyDescent="0.15">
      <c r="A980" s="24"/>
      <c r="B980" s="31"/>
      <c r="E980" s="2"/>
    </row>
    <row r="981" spans="1:5" ht="15" customHeight="1" x14ac:dyDescent="0.15">
      <c r="A981" s="24"/>
      <c r="B981" s="31"/>
      <c r="E981" s="2"/>
    </row>
    <row r="982" spans="1:5" ht="15" customHeight="1" x14ac:dyDescent="0.15">
      <c r="A982" s="24"/>
      <c r="B982" s="31"/>
      <c r="E982" s="2"/>
    </row>
    <row r="983" spans="1:5" ht="15" customHeight="1" x14ac:dyDescent="0.15">
      <c r="A983" s="24"/>
      <c r="B983" s="31"/>
      <c r="E983" s="2"/>
    </row>
    <row r="984" spans="1:5" ht="15" customHeight="1" x14ac:dyDescent="0.15">
      <c r="A984" s="24"/>
      <c r="B984" s="31"/>
      <c r="E984" s="2"/>
    </row>
    <row r="985" spans="1:5" ht="15" customHeight="1" x14ac:dyDescent="0.15">
      <c r="A985" s="24"/>
      <c r="B985" s="31"/>
      <c r="E985" s="2"/>
    </row>
  </sheetData>
  <autoFilter ref="A7:R7" xr:uid="{00000000-0001-0000-0000-000000000000}">
    <sortState xmlns:xlrd2="http://schemas.microsoft.com/office/spreadsheetml/2017/richdata2" ref="A8:R58">
      <sortCondition ref="F7"/>
    </sortState>
  </autoFilter>
  <mergeCells count="2">
    <mergeCell ref="Q4:R4"/>
    <mergeCell ref="S13:V14"/>
  </mergeCells>
  <conditionalFormatting sqref="W67:W84">
    <cfRule type="cellIs" dxfId="1" priority="1" operator="lessThan">
      <formula>216</formula>
    </cfRule>
    <cfRule type="cellIs" dxfId="0" priority="2" operator="greaterThan">
      <formula>216</formula>
    </cfRule>
  </conditionalFormatting>
  <pageMargins left="0.25" right="0.25" top="0.5" bottom="0.5" header="0.3" footer="0.3"/>
  <pageSetup paperSize="17" scale="7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baseColWidth="10" defaultColWidth="12.5" defaultRowHeight="15" customHeight="1" x14ac:dyDescent="0.15"/>
  <cols>
    <col min="1" max="6" width="9.1640625" customWidth="1"/>
    <col min="7" max="26" width="8.5" customWidth="1"/>
  </cols>
  <sheetData>
    <row r="1" spans="1:26" ht="12.75" customHeight="1" x14ac:dyDescent="0.15">
      <c r="A1" s="19">
        <v>1095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15">
      <c r="A2" s="20">
        <v>1026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15">
      <c r="A3" s="21">
        <v>102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15">
      <c r="A4" s="22">
        <v>102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15">
      <c r="A5" s="21">
        <v>25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 x14ac:dyDescent="0.15">
      <c r="A6" s="22">
        <v>25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 x14ac:dyDescent="0.15">
      <c r="A7" s="21">
        <v>55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15">
      <c r="A8" s="22">
        <v>6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15">
      <c r="A9" s="22">
        <v>40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15">
      <c r="A10" s="22">
        <v>9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15">
      <c r="A11" s="21">
        <v>10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 x14ac:dyDescent="0.15">
      <c r="A12" s="22">
        <v>10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 x14ac:dyDescent="0.15">
      <c r="A13" s="21">
        <v>18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 x14ac:dyDescent="0.15">
      <c r="A14" s="22">
        <v>18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15">
      <c r="A15" s="21">
        <v>11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 x14ac:dyDescent="0.15">
      <c r="A16" s="22">
        <v>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x14ac:dyDescent="0.15">
      <c r="A17" s="22">
        <v>1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15">
      <c r="A18" s="22">
        <v>6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15">
      <c r="A19" s="21">
        <v>29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15">
      <c r="A20" s="22">
        <v>29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15">
      <c r="A21" s="21">
        <v>129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15">
      <c r="A22" s="22">
        <v>9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15">
      <c r="A23" s="22">
        <v>74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15">
      <c r="A24" s="22">
        <v>1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15">
      <c r="A25" s="22">
        <v>4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15">
      <c r="A26" s="22">
        <v>16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15">
      <c r="A27" s="22">
        <v>22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15">
      <c r="A28" s="22">
        <v>3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15">
      <c r="A29" s="21">
        <v>21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15">
      <c r="A30" s="22">
        <v>21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15">
      <c r="A31" s="21">
        <v>13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15">
      <c r="A32" s="22">
        <v>5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15">
      <c r="A33" s="22">
        <v>8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15">
      <c r="A34" s="21">
        <v>31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15">
      <c r="A35" s="22">
        <v>9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15">
      <c r="A36" s="22">
        <v>14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15">
      <c r="A37" s="22">
        <v>8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15">
      <c r="A38" s="21">
        <v>8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15">
      <c r="A39" s="22">
        <v>8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15">
      <c r="A40" s="21">
        <v>21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15">
      <c r="A41" s="22">
        <v>15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15">
      <c r="A42" s="23" t="s">
        <v>1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15">
      <c r="A43" s="22">
        <v>6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15">
      <c r="A44" s="21">
        <v>155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15">
      <c r="A45" s="22">
        <v>155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15">
      <c r="A46" s="21">
        <v>18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15">
      <c r="A47" s="22">
        <v>18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15">
      <c r="A48" s="21">
        <v>39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15">
      <c r="A49" s="22">
        <v>39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15">
      <c r="A50" s="21">
        <v>53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15">
      <c r="A51" s="22">
        <v>4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15">
      <c r="A52" s="22">
        <v>49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15">
      <c r="A53" s="21">
        <v>48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15">
      <c r="A54" s="22">
        <v>4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15">
      <c r="A55" s="22">
        <v>29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15">
      <c r="A56" s="22">
        <v>15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15">
      <c r="A57" s="21">
        <v>45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15">
      <c r="A58" s="22">
        <v>1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15">
      <c r="A59" s="22">
        <v>2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15">
      <c r="A60" s="22">
        <v>5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15">
      <c r="A61" s="22">
        <v>17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15">
      <c r="A62" s="22">
        <v>20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15">
      <c r="A63" s="21">
        <v>4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15">
      <c r="A64" s="22">
        <v>4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15">
      <c r="A65" s="21">
        <v>148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15">
      <c r="A66" s="22">
        <v>26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15">
      <c r="A67" s="22">
        <v>54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15">
      <c r="A68" s="22">
        <v>39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15">
      <c r="A69" s="22">
        <v>29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15">
      <c r="A70" s="21">
        <v>43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15">
      <c r="A71" s="22">
        <v>43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15">
      <c r="A72" s="20">
        <v>69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15">
      <c r="A73" s="21">
        <v>9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15">
      <c r="A74" s="22">
        <v>9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15">
      <c r="A75" s="21">
        <v>34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15">
      <c r="A76" s="22">
        <v>34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15">
      <c r="A77" s="21">
        <v>2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15">
      <c r="A78" s="22">
        <v>2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15">
      <c r="A79" s="21">
        <v>24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15">
      <c r="A80" s="22">
        <v>24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Carolyn Davis</dc:creator>
  <cp:lastModifiedBy>Edward Brash</cp:lastModifiedBy>
  <cp:lastPrinted>2025-11-19T19:52:26Z</cp:lastPrinted>
  <dcterms:created xsi:type="dcterms:W3CDTF">2025-11-06T17:57:00Z</dcterms:created>
  <dcterms:modified xsi:type="dcterms:W3CDTF">2026-07-23T10:31:57Z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 Version">
    <vt:lpwstr>24.4</vt:lpwstr>
  </property>
</Properties>
</file>